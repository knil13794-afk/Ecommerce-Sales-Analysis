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alyani\DataAnalyst\E-Commerce  Sales Analysis Project\"/>
    </mc:Choice>
  </mc:AlternateContent>
  <xr:revisionPtr revIDLastSave="0" documentId="13_ncr:1_{D72B3EB2-E407-4168-8D5A-90DA8F491FCE}" xr6:coauthVersionLast="47" xr6:coauthVersionMax="47" xr10:uidLastSave="{00000000-0000-0000-0000-000000000000}"/>
  <bookViews>
    <workbookView xWindow="-108" yWindow="-108" windowWidth="23256" windowHeight="12456" firstSheet="4" activeTab="10" xr2:uid="{00000000-000D-0000-FFFF-FFFF00000000}"/>
  </bookViews>
  <sheets>
    <sheet name="Orders" sheetId="5" r:id="rId1"/>
    <sheet name="Customers" sheetId="4" r:id="rId2"/>
    <sheet name="Products" sheetId="6" r:id="rId3"/>
    <sheet name="Returns" sheetId="7" r:id="rId4"/>
    <sheet name="Sheet6" sheetId="13" r:id="rId5"/>
    <sheet name="Sheet5" sheetId="12" r:id="rId6"/>
    <sheet name="Sheet7" sheetId="14" r:id="rId7"/>
    <sheet name="Sheet8" sheetId="15" r:id="rId8"/>
    <sheet name="Sheet10" sheetId="17" r:id="rId9"/>
    <sheet name="Pivot" sheetId="8" r:id="rId10"/>
    <sheet name="Dashboard" sheetId="18" r:id="rId11"/>
  </sheets>
  <definedNames>
    <definedName name="_xlcn.WorksheetConnection_ECommerceSalesAnalysisProject.xlsxCustomers1" hidden="1">Customers[]</definedName>
    <definedName name="_xlcn.WorksheetConnection_ECommerceSalesAnalysisProject.xlsxOrders1" hidden="1">Orders[]</definedName>
    <definedName name="_xlcn.WorksheetConnection_ECommerceSalesAnalysisProject.xlsxProducts1" hidden="1">Products[]</definedName>
    <definedName name="_xlcn.WorksheetConnection_ECommerceSalesAnalysisProject.xlsxReturns1" hidden="1">Returns[]</definedName>
    <definedName name="ExternalData_1" localSheetId="1" hidden="1">'Customers'!$A$1:$G$101</definedName>
    <definedName name="ExternalData_2" localSheetId="0" hidden="1">Orders!$A$1:$G$1001</definedName>
    <definedName name="ExternalData_3" localSheetId="2" hidden="1">Products!$A$1:$E$21</definedName>
    <definedName name="ExternalData_4" localSheetId="3" hidden="1">'Returns'!$A$1:$B$1001</definedName>
    <definedName name="Slicer_Category">#N/A</definedName>
    <definedName name="Slicer_Month">#N/A</definedName>
    <definedName name="Slicer_Segment">#N/A</definedName>
    <definedName name="Slicer_State">#N/A</definedName>
    <definedName name="Slicer_Year">#N/A</definedName>
    <definedName name="Timeline_Order_Date">#N/A</definedName>
  </definedNames>
  <calcPr calcId="191029"/>
  <pivotCaches>
    <pivotCache cacheId="93" r:id="rId12"/>
    <pivotCache cacheId="278" r:id="rId13"/>
    <pivotCache cacheId="281" r:id="rId14"/>
    <pivotCache cacheId="284" r:id="rId15"/>
    <pivotCache cacheId="287" r:id="rId16"/>
    <pivotCache cacheId="290" r:id="rId17"/>
  </pivotCaches>
  <extLst>
    <ext xmlns:x14="http://schemas.microsoft.com/office/spreadsheetml/2009/9/main" uri="{876F7934-8845-4945-9796-88D515C7AA90}">
      <x14:pivotCaches>
        <pivotCache cacheId="115"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0"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 Sales Analysis Project.xlsx!Orders"/>
          <x15:modelTable id="Customers" name="Customers" connection="WorksheetConnection_E-Commerce Sales Analysis Project.xlsx!Customers"/>
          <x15:modelTable id="Products" name="Products" connection="WorksheetConnection_E-Commerce Sales Analysis Project.xlsx!Products"/>
          <x15:modelTable id="Returns" name="Returns" connection="WorksheetConnection_E-Commerce Sales Analysis Project.xlsx!Returns"/>
        </x15:modelTables>
        <x15:modelRelationships>
          <x15:modelRelationship fromTable="Orders" fromColumn="Customer_ID" toTable="Customers" toColumn="Customer_ID"/>
          <x15:modelRelationship fromTable="Orders" fromColumn="Product_ID" toTable="Products" toColumn="Product_ID"/>
          <x15:modelRelationship fromTable="Returns" fromColumn="Order_ID" toTable="Orders"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8" l="1"/>
  <c r="E7" i="8"/>
  <c r="E4" i="8"/>
  <c r="E15" i="8"/>
  <c r="E14" i="8"/>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E1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A725D8-E820-4051-BD0B-A20A689588C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88F6A356-3D41-4DCE-8322-41CD4833327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03921818-91EC-4F64-9F66-3A2AB0BBD17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AC856E3B-94F5-4BF8-9069-9DBB48FB28F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5" xr16:uid="{B5E4BF37-EBEA-437F-8364-624E151DC4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B8781C0-FA57-4A06-BC07-B3C661B8AF67}" name="WorksheetConnection_E-Commerce Sales Analysis Project.xlsx!Customers" type="102" refreshedVersion="8" minRefreshableVersion="5">
    <extLst>
      <ext xmlns:x15="http://schemas.microsoft.com/office/spreadsheetml/2010/11/main" uri="{DE250136-89BD-433C-8126-D09CA5730AF9}">
        <x15:connection id="Customers">
          <x15:rangePr sourceName="_xlcn.WorksheetConnection_ECommerceSalesAnalysisProject.xlsxCustomers1"/>
        </x15:connection>
      </ext>
    </extLst>
  </connection>
  <connection id="7" xr16:uid="{A428F394-36F7-4380-88D4-77B4E92860DF}" name="WorksheetConnection_E-Commerce Sales Analysis Project.xlsx!Orders" type="102" refreshedVersion="8" minRefreshableVersion="5">
    <extLst>
      <ext xmlns:x15="http://schemas.microsoft.com/office/spreadsheetml/2010/11/main" uri="{DE250136-89BD-433C-8126-D09CA5730AF9}">
        <x15:connection id="Orders">
          <x15:rangePr sourceName="_xlcn.WorksheetConnection_ECommerceSalesAnalysisProject.xlsxOrders1"/>
        </x15:connection>
      </ext>
    </extLst>
  </connection>
  <connection id="8" xr16:uid="{27EA8EE3-7806-44C0-BC00-67596715A788}" name="WorksheetConnection_E-Commerce Sales Analysis Project.xlsx!Products" type="102" refreshedVersion="8" minRefreshableVersion="5">
    <extLst>
      <ext xmlns:x15="http://schemas.microsoft.com/office/spreadsheetml/2010/11/main" uri="{DE250136-89BD-433C-8126-D09CA5730AF9}">
        <x15:connection id="Products">
          <x15:rangePr sourceName="_xlcn.WorksheetConnection_ECommerceSalesAnalysisProject.xlsxProducts1"/>
        </x15:connection>
      </ext>
    </extLst>
  </connection>
  <connection id="9" xr16:uid="{05B614EB-070C-49BE-9438-55ADCF892F2C}" name="WorksheetConnection_E-Commerce Sales Analysis Project.xlsx!Returns" type="102" refreshedVersion="8" minRefreshableVersion="5">
    <extLst>
      <ext xmlns:x15="http://schemas.microsoft.com/office/spreadsheetml/2010/11/main" uri="{DE250136-89BD-433C-8126-D09CA5730AF9}">
        <x15:connection id="Returns">
          <x15:rangePr sourceName="_xlcn.WorksheetConnection_ECommerceSalesAnalysisProject.xlsxReturns1"/>
        </x15:connection>
      </ext>
    </extLst>
  </connection>
</connections>
</file>

<file path=xl/sharedStrings.xml><?xml version="1.0" encoding="utf-8"?>
<sst xmlns="http://schemas.openxmlformats.org/spreadsheetml/2006/main" count="5784" uniqueCount="1311">
  <si>
    <t>Customer_ID</t>
  </si>
  <si>
    <t>Customer_Name</t>
  </si>
  <si>
    <t>Gender</t>
  </si>
  <si>
    <t>Age</t>
  </si>
  <si>
    <t>City</t>
  </si>
  <si>
    <t>State</t>
  </si>
  <si>
    <t>Segment</t>
  </si>
  <si>
    <t>C001</t>
  </si>
  <si>
    <t>Customer 1</t>
  </si>
  <si>
    <t>Male</t>
  </si>
  <si>
    <t>Mumbai</t>
  </si>
  <si>
    <t>Maharashtra</t>
  </si>
  <si>
    <t>Corporate</t>
  </si>
  <si>
    <t>C002</t>
  </si>
  <si>
    <t>Customer 2</t>
  </si>
  <si>
    <t>Female</t>
  </si>
  <si>
    <t>Pune</t>
  </si>
  <si>
    <t>C003</t>
  </si>
  <si>
    <t>Customer 3</t>
  </si>
  <si>
    <t>Bengaluru</t>
  </si>
  <si>
    <t>Karnataka</t>
  </si>
  <si>
    <t>Consumer</t>
  </si>
  <si>
    <t>C004</t>
  </si>
  <si>
    <t>Customer 4</t>
  </si>
  <si>
    <t>C005</t>
  </si>
  <si>
    <t>Customer 5</t>
  </si>
  <si>
    <t>Home Office</t>
  </si>
  <si>
    <t>C006</t>
  </si>
  <si>
    <t>Customer 6</t>
  </si>
  <si>
    <t>C007</t>
  </si>
  <si>
    <t>Customer 7</t>
  </si>
  <si>
    <t>C008</t>
  </si>
  <si>
    <t>Customer 8</t>
  </si>
  <si>
    <t>C009</t>
  </si>
  <si>
    <t>Customer 9</t>
  </si>
  <si>
    <t>Hyderabad</t>
  </si>
  <si>
    <t>Telangana</t>
  </si>
  <si>
    <t>C010</t>
  </si>
  <si>
    <t>Customer 10</t>
  </si>
  <si>
    <t>C011</t>
  </si>
  <si>
    <t>Customer 11</t>
  </si>
  <si>
    <t>C012</t>
  </si>
  <si>
    <t>Customer 12</t>
  </si>
  <si>
    <t>C013</t>
  </si>
  <si>
    <t>Customer 13</t>
  </si>
  <si>
    <t>C014</t>
  </si>
  <si>
    <t>Customer 14</t>
  </si>
  <si>
    <t>C015</t>
  </si>
  <si>
    <t>Customer 15</t>
  </si>
  <si>
    <t>C016</t>
  </si>
  <si>
    <t>Customer 16</t>
  </si>
  <si>
    <t>C017</t>
  </si>
  <si>
    <t>Customer 17</t>
  </si>
  <si>
    <t>Delhi</t>
  </si>
  <si>
    <t>C018</t>
  </si>
  <si>
    <t>Customer 18</t>
  </si>
  <si>
    <t>C019</t>
  </si>
  <si>
    <t>Customer 19</t>
  </si>
  <si>
    <t>C020</t>
  </si>
  <si>
    <t>Customer 20</t>
  </si>
  <si>
    <t>C021</t>
  </si>
  <si>
    <t>Customer 21</t>
  </si>
  <si>
    <t>C022</t>
  </si>
  <si>
    <t>Customer 22</t>
  </si>
  <si>
    <t>C023</t>
  </si>
  <si>
    <t>Customer 23</t>
  </si>
  <si>
    <t>C024</t>
  </si>
  <si>
    <t>Customer 24</t>
  </si>
  <si>
    <t>C025</t>
  </si>
  <si>
    <t>Customer 25</t>
  </si>
  <si>
    <t>C026</t>
  </si>
  <si>
    <t>Customer 26</t>
  </si>
  <si>
    <t>C027</t>
  </si>
  <si>
    <t>Customer 27</t>
  </si>
  <si>
    <t>C028</t>
  </si>
  <si>
    <t>Customer 28</t>
  </si>
  <si>
    <t>C029</t>
  </si>
  <si>
    <t>Customer 29</t>
  </si>
  <si>
    <t>C030</t>
  </si>
  <si>
    <t>Customer 30</t>
  </si>
  <si>
    <t>C031</t>
  </si>
  <si>
    <t>Customer 31</t>
  </si>
  <si>
    <t>C032</t>
  </si>
  <si>
    <t>Customer 32</t>
  </si>
  <si>
    <t>C033</t>
  </si>
  <si>
    <t>Customer 33</t>
  </si>
  <si>
    <t>C034</t>
  </si>
  <si>
    <t>Customer 34</t>
  </si>
  <si>
    <t>C035</t>
  </si>
  <si>
    <t>Customer 35</t>
  </si>
  <si>
    <t>C036</t>
  </si>
  <si>
    <t>Customer 36</t>
  </si>
  <si>
    <t>C037</t>
  </si>
  <si>
    <t>Customer 37</t>
  </si>
  <si>
    <t>C038</t>
  </si>
  <si>
    <t>Customer 38</t>
  </si>
  <si>
    <t>C039</t>
  </si>
  <si>
    <t>Customer 39</t>
  </si>
  <si>
    <t>C040</t>
  </si>
  <si>
    <t>Customer 40</t>
  </si>
  <si>
    <t>C041</t>
  </si>
  <si>
    <t>Customer 41</t>
  </si>
  <si>
    <t>C042</t>
  </si>
  <si>
    <t>Customer 42</t>
  </si>
  <si>
    <t>C043</t>
  </si>
  <si>
    <t>Customer 43</t>
  </si>
  <si>
    <t>C044</t>
  </si>
  <si>
    <t>Customer 44</t>
  </si>
  <si>
    <t>C045</t>
  </si>
  <si>
    <t>Customer 45</t>
  </si>
  <si>
    <t>C046</t>
  </si>
  <si>
    <t>Customer 46</t>
  </si>
  <si>
    <t>C047</t>
  </si>
  <si>
    <t>Customer 47</t>
  </si>
  <si>
    <t>C048</t>
  </si>
  <si>
    <t>Customer 48</t>
  </si>
  <si>
    <t>C049</t>
  </si>
  <si>
    <t>Customer 49</t>
  </si>
  <si>
    <t>C050</t>
  </si>
  <si>
    <t>Customer 50</t>
  </si>
  <si>
    <t>C051</t>
  </si>
  <si>
    <t>Customer 51</t>
  </si>
  <si>
    <t>C052</t>
  </si>
  <si>
    <t>Customer 52</t>
  </si>
  <si>
    <t>C053</t>
  </si>
  <si>
    <t>Customer 53</t>
  </si>
  <si>
    <t>C054</t>
  </si>
  <si>
    <t>Customer 54</t>
  </si>
  <si>
    <t>C055</t>
  </si>
  <si>
    <t>Customer 55</t>
  </si>
  <si>
    <t>C056</t>
  </si>
  <si>
    <t>Customer 56</t>
  </si>
  <si>
    <t>C057</t>
  </si>
  <si>
    <t>Customer 57</t>
  </si>
  <si>
    <t>C058</t>
  </si>
  <si>
    <t>Customer 58</t>
  </si>
  <si>
    <t>C059</t>
  </si>
  <si>
    <t>Customer 59</t>
  </si>
  <si>
    <t>C060</t>
  </si>
  <si>
    <t>Customer 60</t>
  </si>
  <si>
    <t>C061</t>
  </si>
  <si>
    <t>Customer 61</t>
  </si>
  <si>
    <t>C062</t>
  </si>
  <si>
    <t>Customer 62</t>
  </si>
  <si>
    <t>C063</t>
  </si>
  <si>
    <t>Customer 63</t>
  </si>
  <si>
    <t>C064</t>
  </si>
  <si>
    <t>Customer 64</t>
  </si>
  <si>
    <t>C065</t>
  </si>
  <si>
    <t>Customer 65</t>
  </si>
  <si>
    <t>C066</t>
  </si>
  <si>
    <t>Customer 66</t>
  </si>
  <si>
    <t>C067</t>
  </si>
  <si>
    <t>Customer 67</t>
  </si>
  <si>
    <t>C068</t>
  </si>
  <si>
    <t>Customer 68</t>
  </si>
  <si>
    <t>C069</t>
  </si>
  <si>
    <t>Customer 69</t>
  </si>
  <si>
    <t>C070</t>
  </si>
  <si>
    <t>Customer 70</t>
  </si>
  <si>
    <t>C071</t>
  </si>
  <si>
    <t>Customer 71</t>
  </si>
  <si>
    <t>C072</t>
  </si>
  <si>
    <t>Customer 72</t>
  </si>
  <si>
    <t>C073</t>
  </si>
  <si>
    <t>Customer 73</t>
  </si>
  <si>
    <t>C074</t>
  </si>
  <si>
    <t>Customer 74</t>
  </si>
  <si>
    <t>C075</t>
  </si>
  <si>
    <t>Customer 75</t>
  </si>
  <si>
    <t>C076</t>
  </si>
  <si>
    <t>Customer 76</t>
  </si>
  <si>
    <t>C077</t>
  </si>
  <si>
    <t>Customer 77</t>
  </si>
  <si>
    <t>C078</t>
  </si>
  <si>
    <t>Customer 78</t>
  </si>
  <si>
    <t>C079</t>
  </si>
  <si>
    <t>Customer 79</t>
  </si>
  <si>
    <t>C080</t>
  </si>
  <si>
    <t>Customer 80</t>
  </si>
  <si>
    <t>C081</t>
  </si>
  <si>
    <t>Customer 81</t>
  </si>
  <si>
    <t>C082</t>
  </si>
  <si>
    <t>Customer 82</t>
  </si>
  <si>
    <t>C083</t>
  </si>
  <si>
    <t>Customer 83</t>
  </si>
  <si>
    <t>C084</t>
  </si>
  <si>
    <t>Customer 84</t>
  </si>
  <si>
    <t>C085</t>
  </si>
  <si>
    <t>Customer 85</t>
  </si>
  <si>
    <t>C086</t>
  </si>
  <si>
    <t>Customer 86</t>
  </si>
  <si>
    <t>C087</t>
  </si>
  <si>
    <t>Customer 87</t>
  </si>
  <si>
    <t>C088</t>
  </si>
  <si>
    <t>Customer 88</t>
  </si>
  <si>
    <t>C089</t>
  </si>
  <si>
    <t>Customer 89</t>
  </si>
  <si>
    <t>C090</t>
  </si>
  <si>
    <t>Customer 90</t>
  </si>
  <si>
    <t>C091</t>
  </si>
  <si>
    <t>Customer 91</t>
  </si>
  <si>
    <t>C092</t>
  </si>
  <si>
    <t>Customer 92</t>
  </si>
  <si>
    <t>C093</t>
  </si>
  <si>
    <t>Customer 93</t>
  </si>
  <si>
    <t>C094</t>
  </si>
  <si>
    <t>Customer 94</t>
  </si>
  <si>
    <t>C095</t>
  </si>
  <si>
    <t>Customer 95</t>
  </si>
  <si>
    <t>C096</t>
  </si>
  <si>
    <t>Customer 96</t>
  </si>
  <si>
    <t>C097</t>
  </si>
  <si>
    <t>Customer 97</t>
  </si>
  <si>
    <t>C098</t>
  </si>
  <si>
    <t>Customer 98</t>
  </si>
  <si>
    <t>C099</t>
  </si>
  <si>
    <t>Customer 99</t>
  </si>
  <si>
    <t>C100</t>
  </si>
  <si>
    <t>Customer 100</t>
  </si>
  <si>
    <t>Order_ID</t>
  </si>
  <si>
    <t>Order_Date</t>
  </si>
  <si>
    <t>Product_ID</t>
  </si>
  <si>
    <t>Quantity</t>
  </si>
  <si>
    <t>Sales</t>
  </si>
  <si>
    <t>Profit</t>
  </si>
  <si>
    <t>O0001</t>
  </si>
  <si>
    <t>P008</t>
  </si>
  <si>
    <t>O0002</t>
  </si>
  <si>
    <t>P013</t>
  </si>
  <si>
    <t>O0003</t>
  </si>
  <si>
    <t>P009</t>
  </si>
  <si>
    <t>O0004</t>
  </si>
  <si>
    <t>P011</t>
  </si>
  <si>
    <t>O0005</t>
  </si>
  <si>
    <t>P020</t>
  </si>
  <si>
    <t>O0006</t>
  </si>
  <si>
    <t>P003</t>
  </si>
  <si>
    <t>O0007</t>
  </si>
  <si>
    <t>P004</t>
  </si>
  <si>
    <t>O0008</t>
  </si>
  <si>
    <t>P018</t>
  </si>
  <si>
    <t>O0009</t>
  </si>
  <si>
    <t>O0010</t>
  </si>
  <si>
    <t>O0011</t>
  </si>
  <si>
    <t>P019</t>
  </si>
  <si>
    <t>O0012</t>
  </si>
  <si>
    <t>P002</t>
  </si>
  <si>
    <t>O0013</t>
  </si>
  <si>
    <t>O0014</t>
  </si>
  <si>
    <t>O0015</t>
  </si>
  <si>
    <t>O0016</t>
  </si>
  <si>
    <t>O0017</t>
  </si>
  <si>
    <t>P012</t>
  </si>
  <si>
    <t>O0018</t>
  </si>
  <si>
    <t>P017</t>
  </si>
  <si>
    <t>O0019</t>
  </si>
  <si>
    <t>P006</t>
  </si>
  <si>
    <t>O0020</t>
  </si>
  <si>
    <t>O0021</t>
  </si>
  <si>
    <t>P005</t>
  </si>
  <si>
    <t>O0022</t>
  </si>
  <si>
    <t>O0023</t>
  </si>
  <si>
    <t>P007</t>
  </si>
  <si>
    <t>O0024</t>
  </si>
  <si>
    <t>O0025</t>
  </si>
  <si>
    <t>P015</t>
  </si>
  <si>
    <t>O0026</t>
  </si>
  <si>
    <t>O0027</t>
  </si>
  <si>
    <t>O0028</t>
  </si>
  <si>
    <t>O0029</t>
  </si>
  <si>
    <t>O0030</t>
  </si>
  <si>
    <t>O0031</t>
  </si>
  <si>
    <t>O0032</t>
  </si>
  <si>
    <t>O0033</t>
  </si>
  <si>
    <t>O0034</t>
  </si>
  <si>
    <t>O0035</t>
  </si>
  <si>
    <t>O0036</t>
  </si>
  <si>
    <t>O0037</t>
  </si>
  <si>
    <t>P010</t>
  </si>
  <si>
    <t>O0038</t>
  </si>
  <si>
    <t>O0039</t>
  </si>
  <si>
    <t>O0040</t>
  </si>
  <si>
    <t>P014</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</si>
  <si>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</si>
  <si>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</si>
  <si>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</si>
  <si>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</si>
  <si>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</si>
  <si>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</si>
  <si>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</si>
  <si>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</si>
  <si>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</si>
  <si>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</si>
  <si>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</si>
  <si>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</si>
  <si>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</si>
  <si>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</si>
  <si>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</si>
  <si>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</si>
  <si>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</si>
  <si>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</si>
  <si>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</si>
  <si>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</si>
  <si>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</si>
  <si>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</si>
  <si>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</si>
  <si>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</si>
  <si>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</si>
  <si>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</si>
  <si>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</si>
  <si>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</si>
  <si>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</si>
  <si>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</si>
  <si>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</si>
  <si>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</si>
  <si>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P016</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</si>
  <si>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</si>
  <si>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</si>
  <si>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</si>
  <si>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</si>
  <si>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</si>
  <si>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</si>
  <si>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</si>
  <si>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</si>
  <si>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</si>
  <si>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</si>
  <si>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</si>
  <si>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</si>
  <si>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</si>
  <si>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</si>
  <si>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</si>
  <si>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</si>
  <si>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</si>
  <si>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</si>
  <si>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</si>
  <si>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</si>
  <si>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</si>
  <si>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</si>
  <si>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</si>
  <si>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</si>
  <si>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</si>
  <si>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</si>
  <si>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</si>
  <si>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P001</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</si>
  <si>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</si>
  <si>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</si>
  <si>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</si>
  <si>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</si>
  <si>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</si>
  <si>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</si>
  <si>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</si>
  <si>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</si>
  <si>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</si>
  <si>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</si>
  <si>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</si>
  <si>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</si>
  <si>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</si>
  <si>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</si>
  <si>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</si>
  <si>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</si>
  <si>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</si>
  <si>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</si>
  <si>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</si>
  <si>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</si>
  <si>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</si>
  <si>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</si>
  <si>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</si>
  <si>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</si>
  <si>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</si>
  <si>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</si>
  <si>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</si>
  <si>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</si>
  <si>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</si>
  <si>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</si>
  <si>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</si>
  <si>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</si>
  <si>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</si>
  <si>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</si>
  <si>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</si>
  <si>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</si>
  <si>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</si>
  <si>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</si>
  <si>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</si>
  <si>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</si>
  <si>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</si>
  <si>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</si>
  <si>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</si>
  <si>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</si>
  <si>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</si>
  <si>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</si>
  <si>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</si>
  <si>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</si>
  <si>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</si>
  <si>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</si>
  <si>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</si>
  <si>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</si>
  <si>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</si>
  <si>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</si>
  <si>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</si>
  <si>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</si>
  <si>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</si>
  <si>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</si>
  <si>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</si>
  <si>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</si>
  <si>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</si>
  <si>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</si>
  <si>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</si>
  <si>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</si>
  <si>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</si>
  <si>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</si>
  <si>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</si>
  <si>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</si>
  <si>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</si>
  <si>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</si>
  <si>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</si>
  <si>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</si>
  <si>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</si>
  <si>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</si>
  <si>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</si>
  <si>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</si>
  <si>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</si>
  <si>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</si>
  <si>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</si>
  <si>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</si>
  <si>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</si>
  <si>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</si>
  <si>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</si>
  <si>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</si>
  <si>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</si>
  <si>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</si>
  <si>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</si>
  <si>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</si>
  <si>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</si>
  <si>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</si>
  <si>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</si>
  <si>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</si>
  <si>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</si>
  <si>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</si>
  <si>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</si>
  <si>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</si>
  <si>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</si>
  <si>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</si>
  <si>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</si>
  <si>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</si>
  <si>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</si>
  <si>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</si>
  <si>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</si>
  <si>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</si>
  <si>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</si>
  <si>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</si>
  <si>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</si>
  <si>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</si>
  <si>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</si>
  <si>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</si>
  <si>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</si>
  <si>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</si>
  <si>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</si>
  <si>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</si>
  <si>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</si>
  <si>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</si>
  <si>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</si>
  <si>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</si>
  <si>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</si>
  <si>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</si>
  <si>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</si>
  <si>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</si>
  <si>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</si>
  <si>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</si>
  <si>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</si>
  <si>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</si>
  <si>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</si>
  <si>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</si>
  <si>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</si>
  <si>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</si>
  <si>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</si>
  <si>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</si>
  <si>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</si>
  <si>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</si>
  <si>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</si>
  <si>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</si>
  <si>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</si>
  <si>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</si>
  <si>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</si>
  <si>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</si>
  <si>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</si>
  <si>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</si>
  <si>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</si>
  <si>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</si>
  <si>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</si>
  <si>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</si>
  <si>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</si>
  <si>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</si>
  <si>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</si>
  <si>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</si>
  <si>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</si>
  <si>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</si>
  <si>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</si>
  <si>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</si>
  <si>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</si>
  <si>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</si>
  <si>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</si>
  <si>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</si>
  <si>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</si>
  <si>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</si>
  <si>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</si>
  <si>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</si>
  <si>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</si>
  <si>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</si>
  <si>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</si>
  <si>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</si>
  <si>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</si>
  <si>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</si>
  <si>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</si>
  <si>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</si>
  <si>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</si>
  <si>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</si>
  <si>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</si>
  <si>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</si>
  <si>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</si>
  <si>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</si>
  <si>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</si>
  <si>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</si>
  <si>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</si>
  <si>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</si>
  <si>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</si>
  <si>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</si>
  <si>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</si>
  <si>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</si>
  <si>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</si>
  <si>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</si>
  <si>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</si>
  <si>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</si>
  <si>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</si>
  <si>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</si>
  <si>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</si>
  <si>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</si>
  <si>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</si>
  <si>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</si>
  <si>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</si>
  <si>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</si>
  <si>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</si>
  <si>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</si>
  <si>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</si>
  <si>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</si>
  <si>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</si>
  <si>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</si>
  <si>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</si>
  <si>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</si>
  <si>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</si>
  <si>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</si>
  <si>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</si>
  <si>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</si>
  <si>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</si>
  <si>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</si>
  <si>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</si>
  <si>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</si>
  <si>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</si>
  <si>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</si>
  <si>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</si>
  <si>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</si>
  <si>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</si>
  <si>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</si>
  <si>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</si>
  <si>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</si>
  <si>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</si>
  <si>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</si>
  <si>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</si>
  <si>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</si>
  <si>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</si>
  <si>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</si>
  <si>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</si>
  <si>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</si>
  <si>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</si>
  <si>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</si>
  <si>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</si>
  <si>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</si>
  <si>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</si>
  <si>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</si>
  <si>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</si>
  <si>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</si>
  <si>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</si>
  <si>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</si>
  <si>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</si>
  <si>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</si>
  <si>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</si>
  <si>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</si>
  <si>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</si>
  <si>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</si>
  <si>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</si>
  <si>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</si>
  <si>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</si>
  <si>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</si>
  <si>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</si>
  <si>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</si>
  <si>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</si>
  <si>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</si>
  <si>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</si>
  <si>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</si>
  <si>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</si>
  <si>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</si>
  <si>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</si>
  <si>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</si>
  <si>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</si>
  <si>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</si>
  <si>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</si>
  <si>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</si>
  <si>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</si>
  <si>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</si>
  <si>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</si>
  <si>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</si>
  <si>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</si>
  <si>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</si>
  <si>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</si>
  <si>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</si>
  <si>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</si>
  <si>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</si>
  <si>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</si>
  <si>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</si>
  <si>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</si>
  <si>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</si>
  <si>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</si>
  <si>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</si>
  <si>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</si>
  <si>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</si>
  <si>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</si>
  <si>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</si>
  <si>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</si>
  <si>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</si>
  <si>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</si>
  <si>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</si>
  <si>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</si>
  <si>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</si>
  <si>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</si>
  <si>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</si>
  <si>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</si>
  <si>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</si>
  <si>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</si>
  <si>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</si>
  <si>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</si>
  <si>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</si>
  <si>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</si>
  <si>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</si>
  <si>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</si>
  <si>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</si>
  <si>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</si>
  <si>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</si>
  <si>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</si>
  <si>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</si>
  <si>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</si>
  <si>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</si>
  <si>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</si>
  <si>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</si>
  <si>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</si>
  <si>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</si>
  <si>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</si>
  <si>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</si>
  <si>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</si>
  <si>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</si>
  <si>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</si>
  <si>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</si>
  <si>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</si>
  <si>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</si>
  <si>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</si>
  <si>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</si>
  <si>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</si>
  <si>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</si>
  <si>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</si>
  <si>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</si>
  <si>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</si>
  <si>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</si>
  <si>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</si>
  <si>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</si>
  <si>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</si>
  <si>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</si>
  <si>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</si>
  <si>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</si>
  <si>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</si>
  <si>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</si>
  <si>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</si>
  <si>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</si>
  <si>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</si>
  <si>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</si>
  <si>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</si>
  <si>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</si>
  <si>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</si>
  <si>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</si>
  <si>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</si>
  <si>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</si>
  <si>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</si>
  <si>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</si>
  <si>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</si>
  <si>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</si>
  <si>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</si>
  <si>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</si>
  <si>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</si>
  <si>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</si>
  <si>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</si>
  <si>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</si>
  <si>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</si>
  <si>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</si>
  <si>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</si>
  <si>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</si>
  <si>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</si>
  <si>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</si>
  <si>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</si>
  <si>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</si>
  <si>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</si>
  <si>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</si>
  <si>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</si>
  <si>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</si>
  <si>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</si>
  <si>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</si>
  <si>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</si>
  <si>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</si>
  <si>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</si>
  <si>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</si>
  <si>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</si>
  <si>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</si>
  <si>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</si>
  <si>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</si>
  <si>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</si>
  <si>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</si>
  <si>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</si>
  <si>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</si>
  <si>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</si>
  <si>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</si>
  <si>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</si>
  <si>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</si>
  <si>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</si>
  <si>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</si>
  <si>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</si>
  <si>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</si>
  <si>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</si>
  <si>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</si>
  <si>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</si>
  <si>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</si>
  <si>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</si>
  <si>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</si>
  <si>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</si>
  <si>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</si>
  <si>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</si>
  <si>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</si>
  <si>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</si>
  <si>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</si>
  <si>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</si>
  <si>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</si>
  <si>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</si>
  <si>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</si>
  <si>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</si>
  <si>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</si>
  <si>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</si>
  <si>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</si>
  <si>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</si>
  <si>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</si>
  <si>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</si>
  <si>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</si>
  <si>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</si>
  <si>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</si>
  <si>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</si>
  <si>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</si>
  <si>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</si>
  <si>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</si>
  <si>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</si>
  <si>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</si>
  <si>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</si>
  <si>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</si>
  <si>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</si>
  <si>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</si>
  <si>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</si>
  <si>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</si>
  <si>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</si>
  <si>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</si>
  <si>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</si>
  <si>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</si>
  <si>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</si>
  <si>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</si>
  <si>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</si>
  <si>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</si>
  <si>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</si>
  <si>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</si>
  <si>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</si>
  <si>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</si>
  <si>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</si>
  <si>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</si>
  <si>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</si>
  <si>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</si>
  <si>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</si>
  <si>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</si>
  <si>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</si>
  <si>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</si>
  <si>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</si>
  <si>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</si>
  <si>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</si>
  <si>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</si>
  <si>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</si>
  <si>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</si>
  <si>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</si>
  <si>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</si>
  <si>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</si>
  <si>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</si>
  <si>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</si>
  <si>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</si>
  <si>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</si>
  <si>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</si>
  <si>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</si>
  <si>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</si>
  <si>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</si>
  <si>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</si>
  <si>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</si>
  <si>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</si>
  <si>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</si>
  <si>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</si>
  <si>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</si>
  <si>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</si>
  <si>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</si>
  <si>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</si>
  <si>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</si>
  <si>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</si>
  <si>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</si>
  <si>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</si>
  <si>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</si>
  <si>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</si>
  <si>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</si>
  <si>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</si>
  <si>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</si>
  <si>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</si>
  <si>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</si>
  <si>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</si>
  <si>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</si>
  <si>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</si>
  <si>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</si>
  <si>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</si>
  <si>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</si>
  <si>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</si>
  <si>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</si>
  <si>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</si>
  <si>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</si>
  <si>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</si>
  <si>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</si>
  <si>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</si>
  <si>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</si>
  <si>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</si>
  <si>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</si>
  <si>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</si>
  <si>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</si>
  <si>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</si>
  <si>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</si>
  <si>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</si>
  <si>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</si>
  <si>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</si>
  <si>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</si>
  <si>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</si>
  <si>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</si>
  <si>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</si>
  <si>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</si>
  <si>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</si>
  <si>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</si>
  <si>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</si>
  <si>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</si>
  <si>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</si>
  <si>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</si>
  <si>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</si>
  <si>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</si>
  <si>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</si>
  <si>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</si>
  <si>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</si>
  <si>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</si>
  <si>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</si>
  <si>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</si>
  <si>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</si>
  <si>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</si>
  <si>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</si>
  <si>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</si>
  <si>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</si>
  <si>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</si>
  <si>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</si>
  <si>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</si>
  <si>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</si>
  <si>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</si>
  <si>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</si>
  <si>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</si>
  <si>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</si>
  <si>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</si>
  <si>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</si>
  <si>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</si>
  <si>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</si>
  <si>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</si>
  <si>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</si>
  <si>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</si>
  <si>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</si>
  <si>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</si>
  <si>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</si>
  <si>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</si>
  <si>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</si>
  <si>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</si>
  <si>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</si>
  <si>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</si>
  <si>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</si>
  <si>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</si>
  <si>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</si>
  <si>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</si>
  <si>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</si>
  <si>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</si>
  <si>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</si>
  <si>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</si>
  <si>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</si>
  <si>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</si>
  <si>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</si>
  <si>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</si>
  <si>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</si>
  <si>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</si>
  <si>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</si>
  <si>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</si>
  <si>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</si>
  <si>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</si>
  <si>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</si>
  <si>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</si>
  <si>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</si>
  <si>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</si>
  <si>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</si>
  <si>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</si>
  <si>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</si>
  <si>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</si>
  <si>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</si>
  <si>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</si>
  <si>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</si>
  <si>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</si>
  <si>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</si>
  <si>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</si>
  <si>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</si>
  <si>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</si>
  <si>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</si>
  <si>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</si>
  <si>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</si>
  <si>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</si>
  <si>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</si>
  <si>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</si>
  <si>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</si>
  <si>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</si>
  <si>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</si>
  <si>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</si>
  <si>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</si>
  <si>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</si>
  <si>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</si>
  <si>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</si>
  <si>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</si>
  <si>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</si>
  <si>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</si>
  <si>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</si>
  <si>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</si>
  <si>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</si>
  <si>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</si>
  <si>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</si>
  <si>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</si>
  <si>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</si>
  <si>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</si>
  <si>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</si>
  <si>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</si>
  <si>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</si>
  <si>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</si>
  <si>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</si>
  <si>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</si>
  <si>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</si>
  <si>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</si>
  <si>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</si>
  <si>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</si>
  <si>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</si>
  <si>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</si>
  <si>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</si>
  <si>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</si>
  <si>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</si>
  <si>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</si>
  <si>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</si>
  <si>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</si>
  <si>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</si>
  <si>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</si>
  <si>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</si>
  <si>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</si>
  <si>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</si>
  <si>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</si>
  <si>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</si>
  <si>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</si>
  <si>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</si>
  <si>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</si>
  <si>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</si>
  <si>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</si>
  <si>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</si>
  <si>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</si>
  <si>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</si>
  <si>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</si>
  <si>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</si>
  <si>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</si>
  <si>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</si>
  <si>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</si>
  <si>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</si>
  <si>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</si>
  <si>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</si>
  <si>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</si>
  <si>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</si>
  <si>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</si>
  <si>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</si>
  <si>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</si>
  <si>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</si>
  <si>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</si>
  <si>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</si>
  <si>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</si>
  <si>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</si>
  <si>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</si>
  <si>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</si>
  <si>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</si>
  <si>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</si>
  <si>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</si>
  <si>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</si>
  <si>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</si>
  <si>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</si>
  <si>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</si>
  <si>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</si>
  <si>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</si>
  <si>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</si>
  <si>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</si>
  <si>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</si>
  <si>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</si>
  <si>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</si>
  <si>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</si>
  <si>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</si>
  <si>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</si>
  <si>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</si>
  <si>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</si>
  <si>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</si>
  <si>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</si>
  <si>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</si>
  <si>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</si>
  <si>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</si>
  <si>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</si>
  <si>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</si>
  <si>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</si>
  <si>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</si>
  <si>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</si>
  <si>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</si>
  <si>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</si>
  <si>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</si>
  <si>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</si>
  <si>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</si>
  <si>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</si>
  <si>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</si>
  <si>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</si>
  <si>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</si>
  <si>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</si>
  <si>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</si>
  <si>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</si>
  <si>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</si>
  <si>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</si>
  <si>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</si>
  <si>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</si>
  <si>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</si>
  <si>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</si>
  <si>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</si>
  <si>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</si>
  <si>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</si>
  <si>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</si>
  <si>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</si>
  <si>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</si>
  <si>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</si>
  <si>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</si>
  <si>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</si>
  <si>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</si>
  <si>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</si>
  <si>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</si>
  <si>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</si>
  <si>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</si>
  <si>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</si>
  <si>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</si>
  <si>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</si>
  <si>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</si>
  <si>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</si>
  <si>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</si>
  <si>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</si>
  <si>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</si>
  <si>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</si>
  <si>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</si>
  <si>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</si>
  <si>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</si>
  <si>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</si>
  <si>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</si>
  <si>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</si>
  <si>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</si>
  <si>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</si>
  <si>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</si>
  <si>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</si>
  <si>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</si>
  <si>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</si>
  <si>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</si>
  <si>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</si>
  <si>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</si>
  <si>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</si>
  <si>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</si>
  <si>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</si>
  <si>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</si>
  <si>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</si>
  <si>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</si>
  <si>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</si>
  <si>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</si>
  <si>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</si>
  <si>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</si>
  <si>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</si>
  <si>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</si>
  <si>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</si>
  <si>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</si>
  <si>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</si>
  <si>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</si>
  <si>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</si>
  <si>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</si>
  <si>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</si>
  <si>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</si>
  <si>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</si>
  <si>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</si>
  <si>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</si>
  <si>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</si>
  <si>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</si>
  <si>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</si>
  <si>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</si>
  <si>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</si>
  <si>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</si>
  <si>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</si>
  <si>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</si>
  <si>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</si>
  <si>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</si>
  <si>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</si>
  <si>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</si>
  <si>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</si>
  <si>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</si>
  <si>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</si>
  <si>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</si>
  <si>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</si>
  <si>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</si>
  <si>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</si>
  <si>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</si>
  <si>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</si>
  <si>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</si>
  <si>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</si>
  <si>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</si>
  <si>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</si>
  <si>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</si>
  <si>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</si>
  <si>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</si>
  <si>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</si>
  <si>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</si>
  <si>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</si>
  <si>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</si>
  <si>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</si>
  <si>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</si>
  <si>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</si>
  <si>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</si>
  <si>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</si>
  <si>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</si>
  <si>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</si>
  <si>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</si>
  <si>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</si>
  <si>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</si>
  <si>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</si>
  <si>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</si>
  <si>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</si>
  <si>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</si>
  <si>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</si>
  <si>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</si>
  <si>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</si>
  <si>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</si>
  <si>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</si>
  <si>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</si>
  <si>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</si>
  <si>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</si>
  <si>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</si>
  <si>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</si>
  <si>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</si>
  <si>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</si>
  <si>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</si>
  <si>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</si>
  <si>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</si>
  <si>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</si>
  <si>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</si>
  <si>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</si>
  <si>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</si>
  <si>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</si>
  <si>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</si>
  <si>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</si>
  <si>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</si>
  <si>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</si>
  <si>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</si>
  <si>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</si>
  <si>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</si>
  <si>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</si>
  <si>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</si>
  <si>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</si>
  <si>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</si>
  <si>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</si>
  <si>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</si>
  <si>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</si>
  <si>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</si>
  <si>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</si>
  <si>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</si>
  <si>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</si>
  <si>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</si>
  <si>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</si>
  <si>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</si>
  <si>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</si>
  <si>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</si>
  <si>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</si>
  <si>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</si>
  <si>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</si>
  <si>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</si>
  <si>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</si>
  <si>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</si>
  <si>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</si>
  <si>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</si>
  <si>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</si>
  <si>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</si>
  <si>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</si>
  <si>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</si>
  <si>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</si>
  <si>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</si>
  <si>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</si>
  <si>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</si>
  <si>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</si>
  <si>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</si>
  <si>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</si>
  <si>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</si>
  <si>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</si>
  <si>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</si>
  <si>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</si>
  <si>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</si>
  <si>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</si>
  <si>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</si>
  <si>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</si>
  <si>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</si>
  <si>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</si>
  <si>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</si>
  <si>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</si>
  <si>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</si>
  <si>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</si>
  <si>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</si>
  <si>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</si>
  <si>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</si>
  <si>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</si>
  <si>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</si>
  <si>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</si>
  <si>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Product_Name</t>
  </si>
  <si>
    <t>Category</t>
  </si>
  <si>
    <t>Sub_Category</t>
  </si>
  <si>
    <t>Unit_Price</t>
  </si>
  <si>
    <t>Table 1</t>
  </si>
  <si>
    <t>Furniture</t>
  </si>
  <si>
    <t>Tables</t>
  </si>
  <si>
    <t>Printer 2</t>
  </si>
  <si>
    <t>Technology</t>
  </si>
  <si>
    <t>Accessories</t>
  </si>
  <si>
    <t>Table 3</t>
  </si>
  <si>
    <t>Mobile 4</t>
  </si>
  <si>
    <t>Phones</t>
  </si>
  <si>
    <t>Laptop 5</t>
  </si>
  <si>
    <t>Computers</t>
  </si>
  <si>
    <t>Chair 6</t>
  </si>
  <si>
    <t>Chairs</t>
  </si>
  <si>
    <t>Chair 7</t>
  </si>
  <si>
    <t>Table 8</t>
  </si>
  <si>
    <t>Laptop 9</t>
  </si>
  <si>
    <t>Chair 10</t>
  </si>
  <si>
    <t>Laptop 11</t>
  </si>
  <si>
    <t>Chair 12</t>
  </si>
  <si>
    <t>Table 13</t>
  </si>
  <si>
    <t>Laptop 14</t>
  </si>
  <si>
    <t>Printer 15</t>
  </si>
  <si>
    <t>Laptop 16</t>
  </si>
  <si>
    <t>Mobile 17</t>
  </si>
  <si>
    <t>Table 18</t>
  </si>
  <si>
    <t>Mobile 19</t>
  </si>
  <si>
    <t>Printer 20</t>
  </si>
  <si>
    <t>Returned</t>
  </si>
  <si>
    <t>No</t>
  </si>
  <si>
    <t>Yes</t>
  </si>
  <si>
    <t>Month</t>
  </si>
  <si>
    <t>Year</t>
  </si>
  <si>
    <t>Quarter</t>
  </si>
  <si>
    <t>Profit Margin %</t>
  </si>
  <si>
    <t>Sum of Sales</t>
  </si>
  <si>
    <t>Row Labels</t>
  </si>
  <si>
    <t>January</t>
  </si>
  <si>
    <t>February</t>
  </si>
  <si>
    <t>March</t>
  </si>
  <si>
    <t>April</t>
  </si>
  <si>
    <t>May</t>
  </si>
  <si>
    <t>June</t>
  </si>
  <si>
    <t>July</t>
  </si>
  <si>
    <t>August</t>
  </si>
  <si>
    <t>September</t>
  </si>
  <si>
    <t>October</t>
  </si>
  <si>
    <t>November</t>
  </si>
  <si>
    <t>December</t>
  </si>
  <si>
    <t>Grand Total</t>
  </si>
  <si>
    <t>Sum of Profit</t>
  </si>
  <si>
    <t>Count of Order_ID</t>
  </si>
  <si>
    <t>E-Commerce Sales Dashboard</t>
  </si>
  <si>
    <t>Business Insights</t>
  </si>
  <si>
    <t>------------------------------------------------------------</t>
  </si>
  <si>
    <t>• Highest Sales Month: November</t>
  </si>
  <si>
    <t>• Top Performing Category: Technology</t>
  </si>
  <si>
    <t>• Best Selling Product: Laptop</t>
  </si>
  <si>
    <t>• Top Customer: Customer 25</t>
  </si>
  <si>
    <t>• Highest Sales State: Maharashtra</t>
  </si>
  <si>
    <t>• Total Return Rate: 8%</t>
  </si>
  <si>
    <t>• Recommendation: Increase inventory for top-selling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</si>
</sst>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6"/>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0" borderId="0" xfId="0" applyAlignment="1">
      <alignment wrapText="1"/>
    </xf>
    <xf numFmtId="0" fontId="0" fillId="0" borderId="0" xfId="0" applyAlignment="1"/>
    <xf numFmtId="0" fontId="0" fillId="2" borderId="10" xfId="0" applyFill="1" applyBorder="1"/>
    <xf numFmtId="0" fontId="0" fillId="0" borderId="10" xfId="0" applyBorder="1"/>
    <xf numFmtId="0" fontId="0" fillId="2" borderId="0" xfId="0" applyFill="1" applyBorder="1"/>
    <xf numFmtId="0" fontId="3" fillId="2" borderId="10" xfId="0" applyFont="1" applyFill="1" applyBorder="1" applyAlignment="1"/>
    <xf numFmtId="0" fontId="3" fillId="2" borderId="11" xfId="0" applyFont="1" applyFill="1" applyBorder="1" applyAlignment="1"/>
    <xf numFmtId="0" fontId="3" fillId="2" borderId="12" xfId="0" applyFont="1" applyFill="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2" fillId="2" borderId="0" xfId="0" applyFont="1" applyFill="1"/>
  </cellXfs>
  <cellStyles count="1">
    <cellStyle name="Normal" xfId="0" builtinId="0"/>
  </cellStyles>
  <dxfs count="20">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aredStrings" Target="sharedStrings.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Delhi</c:v>
                </c:pt>
                <c:pt idx="1">
                  <c:v>Karnataka</c:v>
                </c:pt>
                <c:pt idx="2">
                  <c:v>Maharashtra</c:v>
                </c:pt>
                <c:pt idx="3">
                  <c:v>Telangana</c:v>
                </c:pt>
              </c:strCache>
            </c:strRef>
          </c:cat>
          <c:val>
            <c:numRef>
              <c:f>Sheet6!$B$4:$B$8</c:f>
              <c:numCache>
                <c:formatCode>General</c:formatCode>
                <c:ptCount val="4"/>
                <c:pt idx="0">
                  <c:v>814238</c:v>
                </c:pt>
                <c:pt idx="1">
                  <c:v>673620</c:v>
                </c:pt>
                <c:pt idx="2">
                  <c:v>2412106</c:v>
                </c:pt>
                <c:pt idx="3">
                  <c:v>2328675</c:v>
                </c:pt>
              </c:numCache>
            </c:numRef>
          </c:val>
          <c:extLst>
            <c:ext xmlns:c16="http://schemas.microsoft.com/office/drawing/2014/chart" uri="{C3380CC4-5D6E-409C-BE32-E72D297353CC}">
              <c16:uniqueId val="{00000000-4B15-4E9A-911E-6875DFBFF414}"/>
            </c:ext>
          </c:extLst>
        </c:ser>
        <c:dLbls>
          <c:showLegendKey val="0"/>
          <c:showVal val="0"/>
          <c:showCatName val="0"/>
          <c:showSerName val="0"/>
          <c:showPercent val="0"/>
          <c:showBubbleSize val="0"/>
        </c:dLbls>
        <c:gapWidth val="182"/>
        <c:axId val="26143936"/>
        <c:axId val="292670544"/>
      </c:barChart>
      <c:catAx>
        <c:axId val="2614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70544"/>
        <c:crosses val="autoZero"/>
        <c:auto val="1"/>
        <c:lblAlgn val="ctr"/>
        <c:lblOffset val="100"/>
        <c:noMultiLvlLbl val="0"/>
      </c:catAx>
      <c:valAx>
        <c:axId val="29267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Laptop 11</c:v>
                </c:pt>
                <c:pt idx="1">
                  <c:v>Laptop 14</c:v>
                </c:pt>
                <c:pt idx="2">
                  <c:v>Laptop 16</c:v>
                </c:pt>
                <c:pt idx="3">
                  <c:v>Laptop 5</c:v>
                </c:pt>
                <c:pt idx="4">
                  <c:v>Laptop 9</c:v>
                </c:pt>
                <c:pt idx="5">
                  <c:v>Mobile 17</c:v>
                </c:pt>
                <c:pt idx="6">
                  <c:v>Printer 2</c:v>
                </c:pt>
                <c:pt idx="7">
                  <c:v>Printer 20</c:v>
                </c:pt>
                <c:pt idx="8">
                  <c:v>Table 13</c:v>
                </c:pt>
                <c:pt idx="9">
                  <c:v>Table 8</c:v>
                </c:pt>
              </c:strCache>
            </c:strRef>
          </c:cat>
          <c:val>
            <c:numRef>
              <c:f>Sheet5!$B$4:$B$14</c:f>
              <c:numCache>
                <c:formatCode>General</c:formatCode>
                <c:ptCount val="10"/>
                <c:pt idx="0">
                  <c:v>779730</c:v>
                </c:pt>
                <c:pt idx="1">
                  <c:v>379309</c:v>
                </c:pt>
                <c:pt idx="2">
                  <c:v>761376</c:v>
                </c:pt>
                <c:pt idx="3">
                  <c:v>839250</c:v>
                </c:pt>
                <c:pt idx="4">
                  <c:v>1153677</c:v>
                </c:pt>
                <c:pt idx="5">
                  <c:v>307296</c:v>
                </c:pt>
                <c:pt idx="6">
                  <c:v>189652</c:v>
                </c:pt>
                <c:pt idx="7">
                  <c:v>408312</c:v>
                </c:pt>
                <c:pt idx="8">
                  <c:v>204079</c:v>
                </c:pt>
                <c:pt idx="9">
                  <c:v>206668</c:v>
                </c:pt>
              </c:numCache>
            </c:numRef>
          </c:val>
          <c:extLst>
            <c:ext xmlns:c16="http://schemas.microsoft.com/office/drawing/2014/chart" uri="{C3380CC4-5D6E-409C-BE32-E72D297353CC}">
              <c16:uniqueId val="{00000000-F043-4D91-8110-3E99E3AD25B1}"/>
            </c:ext>
          </c:extLst>
        </c:ser>
        <c:dLbls>
          <c:showLegendKey val="0"/>
          <c:showVal val="0"/>
          <c:showCatName val="0"/>
          <c:showSerName val="0"/>
          <c:showPercent val="0"/>
          <c:showBubbleSize val="0"/>
        </c:dLbls>
        <c:gapWidth val="182"/>
        <c:axId val="981598959"/>
        <c:axId val="292623504"/>
      </c:barChart>
      <c:catAx>
        <c:axId val="9815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3504"/>
        <c:crosses val="autoZero"/>
        <c:auto val="1"/>
        <c:lblAlgn val="ctr"/>
        <c:lblOffset val="100"/>
        <c:noMultiLvlLbl val="0"/>
      </c:catAx>
      <c:valAx>
        <c:axId val="29262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98A-4808-A440-F3F3D03365F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Consumer</c:v>
                </c:pt>
                <c:pt idx="1">
                  <c:v>Corporate</c:v>
                </c:pt>
                <c:pt idx="2">
                  <c:v>Home Office</c:v>
                </c:pt>
              </c:strCache>
            </c:strRef>
          </c:cat>
          <c:val>
            <c:numRef>
              <c:f>Sheet7!$B$4:$B$7</c:f>
              <c:numCache>
                <c:formatCode>General</c:formatCode>
                <c:ptCount val="3"/>
                <c:pt idx="0">
                  <c:v>1323211</c:v>
                </c:pt>
                <c:pt idx="1">
                  <c:v>2455772</c:v>
                </c:pt>
                <c:pt idx="2">
                  <c:v>2449656</c:v>
                </c:pt>
              </c:numCache>
            </c:numRef>
          </c:val>
          <c:extLst>
            <c:ext xmlns:c16="http://schemas.microsoft.com/office/drawing/2014/chart" uri="{C3380CC4-5D6E-409C-BE32-E72D297353CC}">
              <c16:uniqueId val="{00000000-398A-4808-A440-F3F3D03365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Project.xlsx]Sheet8!PivotTable15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Sheet8!$A$4:$A$6</c:f>
              <c:strCache>
                <c:ptCount val="2"/>
                <c:pt idx="0">
                  <c:v>Furniture</c:v>
                </c:pt>
                <c:pt idx="1">
                  <c:v>Technology</c:v>
                </c:pt>
              </c:strCache>
            </c:strRef>
          </c:cat>
          <c:val>
            <c:numRef>
              <c:f>Sheet8!$B$4:$B$6</c:f>
              <c:numCache>
                <c:formatCode>General</c:formatCode>
                <c:ptCount val="2"/>
                <c:pt idx="0">
                  <c:v>1111422</c:v>
                </c:pt>
                <c:pt idx="1">
                  <c:v>5117217</c:v>
                </c:pt>
              </c:numCache>
            </c:numRef>
          </c:val>
          <c:extLst>
            <c:ext xmlns:c16="http://schemas.microsoft.com/office/drawing/2014/chart" uri="{C3380CC4-5D6E-409C-BE32-E72D297353CC}">
              <c16:uniqueId val="{00000000-14D9-49B4-8346-6A4FD9C3FF25}"/>
            </c:ext>
          </c:extLst>
        </c:ser>
        <c:dLbls>
          <c:showLegendKey val="0"/>
          <c:showVal val="0"/>
          <c:showCatName val="0"/>
          <c:showSerName val="0"/>
          <c:showPercent val="0"/>
          <c:showBubbleSize val="0"/>
        </c:dLbls>
        <c:gapWidth val="219"/>
        <c:overlap val="-27"/>
        <c:axId val="26110992"/>
        <c:axId val="292620624"/>
      </c:barChart>
      <c:catAx>
        <c:axId val="2611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0624"/>
        <c:crosses val="autoZero"/>
        <c:auto val="1"/>
        <c:lblAlgn val="ctr"/>
        <c:lblOffset val="100"/>
        <c:noMultiLvlLbl val="0"/>
      </c:catAx>
      <c:valAx>
        <c:axId val="2926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Project.xlsx]Sheet10!PivotTable18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No</c:v>
                </c:pt>
                <c:pt idx="1">
                  <c:v>Yes</c:v>
                </c:pt>
              </c:strCache>
            </c:strRef>
          </c:cat>
          <c:val>
            <c:numRef>
              <c:f>Sheet10!$B$4:$B$6</c:f>
              <c:numCache>
                <c:formatCode>General</c:formatCode>
                <c:ptCount val="2"/>
                <c:pt idx="0">
                  <c:v>96</c:v>
                </c:pt>
                <c:pt idx="1">
                  <c:v>96</c:v>
                </c:pt>
              </c:numCache>
            </c:numRef>
          </c:val>
          <c:extLst>
            <c:ext xmlns:c16="http://schemas.microsoft.com/office/drawing/2014/chart" uri="{C3380CC4-5D6E-409C-BE32-E72D297353CC}">
              <c16:uniqueId val="{00000000-1B95-412C-A914-E6C1C5C321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Pivot!$C$4</c:f>
              <c:strCache>
                <c:ptCount val="1"/>
                <c:pt idx="0">
                  <c:v>Total</c:v>
                </c:pt>
              </c:strCache>
            </c:strRef>
          </c:tx>
          <c:spPr>
            <a:ln w="28575" cap="rnd">
              <a:solidFill>
                <a:schemeClr val="accent1"/>
              </a:solidFill>
              <a:round/>
            </a:ln>
            <a:effectLst/>
          </c:spPr>
          <c:marker>
            <c:symbol val="none"/>
          </c:marker>
          <c:cat>
            <c:strRef>
              <c:f>Pivot!$B$5:$B$17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Pivot!$C$5:$C$17</c:f>
              <c:numCache>
                <c:formatCode>General</c:formatCode>
                <c:ptCount val="12"/>
                <c:pt idx="0">
                  <c:v>5612793</c:v>
                </c:pt>
                <c:pt idx="1">
                  <c:v>5806774</c:v>
                </c:pt>
                <c:pt idx="2">
                  <c:v>7018340</c:v>
                </c:pt>
                <c:pt idx="3">
                  <c:v>4211063</c:v>
                </c:pt>
                <c:pt idx="4">
                  <c:v>6228639</c:v>
                </c:pt>
                <c:pt idx="5">
                  <c:v>4224834</c:v>
                </c:pt>
                <c:pt idx="6">
                  <c:v>6274616</c:v>
                </c:pt>
                <c:pt idx="7">
                  <c:v>4929801</c:v>
                </c:pt>
                <c:pt idx="8">
                  <c:v>5778966</c:v>
                </c:pt>
                <c:pt idx="9">
                  <c:v>6761972</c:v>
                </c:pt>
                <c:pt idx="10">
                  <c:v>6067924</c:v>
                </c:pt>
                <c:pt idx="11">
                  <c:v>5955553</c:v>
                </c:pt>
              </c:numCache>
            </c:numRef>
          </c:val>
          <c:smooth val="0"/>
          <c:extLst>
            <c:ext xmlns:c16="http://schemas.microsoft.com/office/drawing/2014/chart" uri="{C3380CC4-5D6E-409C-BE32-E72D297353CC}">
              <c16:uniqueId val="{00000000-9130-4B1F-BF55-505604B765CE}"/>
            </c:ext>
          </c:extLst>
        </c:ser>
        <c:dLbls>
          <c:showLegendKey val="0"/>
          <c:showVal val="0"/>
          <c:showCatName val="0"/>
          <c:showSerName val="0"/>
          <c:showPercent val="0"/>
          <c:showBubbleSize val="0"/>
        </c:dLbls>
        <c:smooth val="0"/>
        <c:axId val="836759887"/>
        <c:axId val="828716495"/>
      </c:lineChart>
      <c:catAx>
        <c:axId val="8367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16495"/>
        <c:crosses val="autoZero"/>
        <c:auto val="1"/>
        <c:lblAlgn val="ctr"/>
        <c:lblOffset val="100"/>
        <c:noMultiLvlLbl val="0"/>
      </c:catAx>
      <c:valAx>
        <c:axId val="82871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Profit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Pivot!$H$4</c:f>
              <c:strCache>
                <c:ptCount val="1"/>
                <c:pt idx="0">
                  <c:v>Total</c:v>
                </c:pt>
              </c:strCache>
            </c:strRef>
          </c:tx>
          <c:spPr>
            <a:ln w="28575" cap="rnd">
              <a:solidFill>
                <a:schemeClr val="accent1"/>
              </a:solidFill>
              <a:round/>
            </a:ln>
            <a:effectLst/>
          </c:spPr>
          <c:marker>
            <c:symbol val="none"/>
          </c:marker>
          <c:cat>
            <c:strRef>
              <c:f>Pivot!$G$5:$G$17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Pivot!$H$5:$H$17</c:f>
              <c:numCache>
                <c:formatCode>General</c:formatCode>
                <c:ptCount val="12"/>
                <c:pt idx="0">
                  <c:v>896163.16</c:v>
                </c:pt>
                <c:pt idx="1">
                  <c:v>1007138.9999999999</c:v>
                </c:pt>
                <c:pt idx="2">
                  <c:v>1122442.4500000004</c:v>
                </c:pt>
                <c:pt idx="3">
                  <c:v>707760.06</c:v>
                </c:pt>
                <c:pt idx="4">
                  <c:v>1061846.95</c:v>
                </c:pt>
                <c:pt idx="5">
                  <c:v>696198.28000000026</c:v>
                </c:pt>
                <c:pt idx="6">
                  <c:v>997191.66999999981</c:v>
                </c:pt>
                <c:pt idx="7">
                  <c:v>846930.81</c:v>
                </c:pt>
                <c:pt idx="8">
                  <c:v>959478.31999999983</c:v>
                </c:pt>
                <c:pt idx="9">
                  <c:v>1080079.8500000006</c:v>
                </c:pt>
                <c:pt idx="10">
                  <c:v>1028974.3000000002</c:v>
                </c:pt>
                <c:pt idx="11">
                  <c:v>962360.75</c:v>
                </c:pt>
              </c:numCache>
            </c:numRef>
          </c:val>
          <c:smooth val="0"/>
          <c:extLst>
            <c:ext xmlns:c16="http://schemas.microsoft.com/office/drawing/2014/chart" uri="{C3380CC4-5D6E-409C-BE32-E72D297353CC}">
              <c16:uniqueId val="{00000000-AC33-47A4-8596-08228DA3F254}"/>
            </c:ext>
          </c:extLst>
        </c:ser>
        <c:dLbls>
          <c:showLegendKey val="0"/>
          <c:showVal val="0"/>
          <c:showCatName val="0"/>
          <c:showSerName val="0"/>
          <c:showPercent val="0"/>
          <c:showBubbleSize val="0"/>
        </c:dLbls>
        <c:smooth val="0"/>
        <c:axId val="825940575"/>
        <c:axId val="828772655"/>
      </c:lineChart>
      <c:catAx>
        <c:axId val="8259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72655"/>
        <c:crosses val="autoZero"/>
        <c:auto val="1"/>
        <c:lblAlgn val="ctr"/>
        <c:lblOffset val="100"/>
        <c:noMultiLvlLbl val="0"/>
      </c:catAx>
      <c:valAx>
        <c:axId val="82877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4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Pivot!$C$4</c:f>
              <c:strCache>
                <c:ptCount val="1"/>
                <c:pt idx="0">
                  <c:v>Total</c:v>
                </c:pt>
              </c:strCache>
            </c:strRef>
          </c:tx>
          <c:spPr>
            <a:ln w="28575" cap="rnd">
              <a:solidFill>
                <a:schemeClr val="accent1"/>
              </a:solidFill>
              <a:round/>
            </a:ln>
            <a:effectLst/>
          </c:spPr>
          <c:marker>
            <c:symbol val="none"/>
          </c:marker>
          <c:cat>
            <c:strRef>
              <c:f>Pivot!$B$5:$B$17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Pivot!$C$5:$C$17</c:f>
              <c:numCache>
                <c:formatCode>General</c:formatCode>
                <c:ptCount val="12"/>
                <c:pt idx="0">
                  <c:v>5612793</c:v>
                </c:pt>
                <c:pt idx="1">
                  <c:v>5806774</c:v>
                </c:pt>
                <c:pt idx="2">
                  <c:v>7018340</c:v>
                </c:pt>
                <c:pt idx="3">
                  <c:v>4211063</c:v>
                </c:pt>
                <c:pt idx="4">
                  <c:v>6228639</c:v>
                </c:pt>
                <c:pt idx="5">
                  <c:v>4224834</c:v>
                </c:pt>
                <c:pt idx="6">
                  <c:v>6274616</c:v>
                </c:pt>
                <c:pt idx="7">
                  <c:v>4929801</c:v>
                </c:pt>
                <c:pt idx="8">
                  <c:v>5778966</c:v>
                </c:pt>
                <c:pt idx="9">
                  <c:v>6761972</c:v>
                </c:pt>
                <c:pt idx="10">
                  <c:v>6067924</c:v>
                </c:pt>
                <c:pt idx="11">
                  <c:v>5955553</c:v>
                </c:pt>
              </c:numCache>
            </c:numRef>
          </c:val>
          <c:smooth val="0"/>
          <c:extLst>
            <c:ext xmlns:c16="http://schemas.microsoft.com/office/drawing/2014/chart" uri="{C3380CC4-5D6E-409C-BE32-E72D297353CC}">
              <c16:uniqueId val="{00000000-DEE3-4F13-AE0B-8AD76ABAD53B}"/>
            </c:ext>
          </c:extLst>
        </c:ser>
        <c:dLbls>
          <c:showLegendKey val="0"/>
          <c:showVal val="0"/>
          <c:showCatName val="0"/>
          <c:showSerName val="0"/>
          <c:showPercent val="0"/>
          <c:showBubbleSize val="0"/>
        </c:dLbls>
        <c:smooth val="0"/>
        <c:axId val="836759887"/>
        <c:axId val="828716495"/>
      </c:lineChart>
      <c:catAx>
        <c:axId val="8367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16495"/>
        <c:crosses val="autoZero"/>
        <c:auto val="1"/>
        <c:lblAlgn val="ctr"/>
        <c:lblOffset val="100"/>
        <c:noMultiLvlLbl val="0"/>
      </c:catAx>
      <c:valAx>
        <c:axId val="82871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Profit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Pivot!$H$4</c:f>
              <c:strCache>
                <c:ptCount val="1"/>
                <c:pt idx="0">
                  <c:v>Total</c:v>
                </c:pt>
              </c:strCache>
            </c:strRef>
          </c:tx>
          <c:spPr>
            <a:ln w="28575" cap="rnd">
              <a:solidFill>
                <a:schemeClr val="accent1"/>
              </a:solidFill>
              <a:round/>
            </a:ln>
            <a:effectLst/>
          </c:spPr>
          <c:marker>
            <c:symbol val="none"/>
          </c:marker>
          <c:cat>
            <c:strRef>
              <c:f>Pivot!$G$5:$G$17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Pivot!$H$5:$H$17</c:f>
              <c:numCache>
                <c:formatCode>General</c:formatCode>
                <c:ptCount val="12"/>
                <c:pt idx="0">
                  <c:v>896163.16</c:v>
                </c:pt>
                <c:pt idx="1">
                  <c:v>1007138.9999999999</c:v>
                </c:pt>
                <c:pt idx="2">
                  <c:v>1122442.4500000004</c:v>
                </c:pt>
                <c:pt idx="3">
                  <c:v>707760.06</c:v>
                </c:pt>
                <c:pt idx="4">
                  <c:v>1061846.95</c:v>
                </c:pt>
                <c:pt idx="5">
                  <c:v>696198.28000000026</c:v>
                </c:pt>
                <c:pt idx="6">
                  <c:v>997191.66999999981</c:v>
                </c:pt>
                <c:pt idx="7">
                  <c:v>846930.81</c:v>
                </c:pt>
                <c:pt idx="8">
                  <c:v>959478.31999999983</c:v>
                </c:pt>
                <c:pt idx="9">
                  <c:v>1080079.8500000006</c:v>
                </c:pt>
                <c:pt idx="10">
                  <c:v>1028974.3000000002</c:v>
                </c:pt>
                <c:pt idx="11">
                  <c:v>962360.75</c:v>
                </c:pt>
              </c:numCache>
            </c:numRef>
          </c:val>
          <c:smooth val="0"/>
          <c:extLst>
            <c:ext xmlns:c16="http://schemas.microsoft.com/office/drawing/2014/chart" uri="{C3380CC4-5D6E-409C-BE32-E72D297353CC}">
              <c16:uniqueId val="{00000000-2C99-43E2-8B7A-E26F0BA9ECD8}"/>
            </c:ext>
          </c:extLst>
        </c:ser>
        <c:dLbls>
          <c:showLegendKey val="0"/>
          <c:showVal val="0"/>
          <c:showCatName val="0"/>
          <c:showSerName val="0"/>
          <c:showPercent val="0"/>
          <c:showBubbleSize val="0"/>
        </c:dLbls>
        <c:smooth val="0"/>
        <c:axId val="825940575"/>
        <c:axId val="828772655"/>
      </c:lineChart>
      <c:catAx>
        <c:axId val="8259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72655"/>
        <c:crosses val="autoZero"/>
        <c:auto val="1"/>
        <c:lblAlgn val="ctr"/>
        <c:lblOffset val="100"/>
        <c:noMultiLvlLbl val="0"/>
      </c:catAx>
      <c:valAx>
        <c:axId val="82877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4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Project.xlsx]Sheet8!PivotTable15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Sheet8!$A$4:$A$6</c:f>
              <c:strCache>
                <c:ptCount val="2"/>
                <c:pt idx="0">
                  <c:v>Furniture</c:v>
                </c:pt>
                <c:pt idx="1">
                  <c:v>Technology</c:v>
                </c:pt>
              </c:strCache>
            </c:strRef>
          </c:cat>
          <c:val>
            <c:numRef>
              <c:f>Sheet8!$B$4:$B$6</c:f>
              <c:numCache>
                <c:formatCode>General</c:formatCode>
                <c:ptCount val="2"/>
                <c:pt idx="0">
                  <c:v>1111422</c:v>
                </c:pt>
                <c:pt idx="1">
                  <c:v>5117217</c:v>
                </c:pt>
              </c:numCache>
            </c:numRef>
          </c:val>
          <c:extLst>
            <c:ext xmlns:c16="http://schemas.microsoft.com/office/drawing/2014/chart" uri="{C3380CC4-5D6E-409C-BE32-E72D297353CC}">
              <c16:uniqueId val="{00000000-DA12-4DDB-811E-86FCDB0B6E42}"/>
            </c:ext>
          </c:extLst>
        </c:ser>
        <c:dLbls>
          <c:showLegendKey val="0"/>
          <c:showVal val="0"/>
          <c:showCatName val="0"/>
          <c:showSerName val="0"/>
          <c:showPercent val="0"/>
          <c:showBubbleSize val="0"/>
        </c:dLbls>
        <c:gapWidth val="219"/>
        <c:overlap val="-27"/>
        <c:axId val="26110992"/>
        <c:axId val="292620624"/>
      </c:barChart>
      <c:catAx>
        <c:axId val="2611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0624"/>
        <c:crosses val="autoZero"/>
        <c:auto val="1"/>
        <c:lblAlgn val="ctr"/>
        <c:lblOffset val="100"/>
        <c:noMultiLvlLbl val="0"/>
      </c:catAx>
      <c:valAx>
        <c:axId val="29262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Project.xlsx]Sheet6!PivotTable9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Delhi</c:v>
                </c:pt>
                <c:pt idx="1">
                  <c:v>Karnataka</c:v>
                </c:pt>
                <c:pt idx="2">
                  <c:v>Maharashtra</c:v>
                </c:pt>
                <c:pt idx="3">
                  <c:v>Telangana</c:v>
                </c:pt>
              </c:strCache>
            </c:strRef>
          </c:cat>
          <c:val>
            <c:numRef>
              <c:f>Sheet6!$B$4:$B$8</c:f>
              <c:numCache>
                <c:formatCode>General</c:formatCode>
                <c:ptCount val="4"/>
                <c:pt idx="0">
                  <c:v>814238</c:v>
                </c:pt>
                <c:pt idx="1">
                  <c:v>673620</c:v>
                </c:pt>
                <c:pt idx="2">
                  <c:v>2412106</c:v>
                </c:pt>
                <c:pt idx="3">
                  <c:v>2328675</c:v>
                </c:pt>
              </c:numCache>
            </c:numRef>
          </c:val>
          <c:extLst>
            <c:ext xmlns:c16="http://schemas.microsoft.com/office/drawing/2014/chart" uri="{C3380CC4-5D6E-409C-BE32-E72D297353CC}">
              <c16:uniqueId val="{00000000-D543-4210-88A6-8BEB100A1794}"/>
            </c:ext>
          </c:extLst>
        </c:ser>
        <c:dLbls>
          <c:showLegendKey val="0"/>
          <c:showVal val="0"/>
          <c:showCatName val="0"/>
          <c:showSerName val="0"/>
          <c:showPercent val="0"/>
          <c:showBubbleSize val="0"/>
        </c:dLbls>
        <c:gapWidth val="182"/>
        <c:axId val="26143936"/>
        <c:axId val="292670544"/>
      </c:barChart>
      <c:catAx>
        <c:axId val="2614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70544"/>
        <c:crosses val="autoZero"/>
        <c:auto val="1"/>
        <c:lblAlgn val="ctr"/>
        <c:lblOffset val="100"/>
        <c:noMultiLvlLbl val="0"/>
      </c:catAx>
      <c:valAx>
        <c:axId val="29267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Project.xlsx]Sheet6!PivotTable9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Delhi</c:v>
                </c:pt>
                <c:pt idx="1">
                  <c:v>Karnataka</c:v>
                </c:pt>
                <c:pt idx="2">
                  <c:v>Maharashtra</c:v>
                </c:pt>
                <c:pt idx="3">
                  <c:v>Telangana</c:v>
                </c:pt>
              </c:strCache>
            </c:strRef>
          </c:cat>
          <c:val>
            <c:numRef>
              <c:f>Sheet6!$B$4:$B$8</c:f>
              <c:numCache>
                <c:formatCode>General</c:formatCode>
                <c:ptCount val="4"/>
                <c:pt idx="0">
                  <c:v>814238</c:v>
                </c:pt>
                <c:pt idx="1">
                  <c:v>673620</c:v>
                </c:pt>
                <c:pt idx="2">
                  <c:v>2412106</c:v>
                </c:pt>
                <c:pt idx="3">
                  <c:v>2328675</c:v>
                </c:pt>
              </c:numCache>
            </c:numRef>
          </c:val>
          <c:extLst>
            <c:ext xmlns:c16="http://schemas.microsoft.com/office/drawing/2014/chart" uri="{C3380CC4-5D6E-409C-BE32-E72D297353CC}">
              <c16:uniqueId val="{00000000-E2EA-48A3-84B6-DB300B1351C1}"/>
            </c:ext>
          </c:extLst>
        </c:ser>
        <c:dLbls>
          <c:showLegendKey val="0"/>
          <c:showVal val="0"/>
          <c:showCatName val="0"/>
          <c:showSerName val="0"/>
          <c:showPercent val="0"/>
          <c:showBubbleSize val="0"/>
        </c:dLbls>
        <c:gapWidth val="182"/>
        <c:axId val="26143936"/>
        <c:axId val="292670544"/>
      </c:barChart>
      <c:catAx>
        <c:axId val="2614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70544"/>
        <c:crosses val="autoZero"/>
        <c:auto val="1"/>
        <c:lblAlgn val="ctr"/>
        <c:lblOffset val="100"/>
        <c:noMultiLvlLbl val="0"/>
      </c:catAx>
      <c:valAx>
        <c:axId val="29267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Project.xlsx]Sheet5!PivotTable7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Laptop 11</c:v>
                </c:pt>
                <c:pt idx="1">
                  <c:v>Laptop 14</c:v>
                </c:pt>
                <c:pt idx="2">
                  <c:v>Laptop 16</c:v>
                </c:pt>
                <c:pt idx="3">
                  <c:v>Laptop 5</c:v>
                </c:pt>
                <c:pt idx="4">
                  <c:v>Laptop 9</c:v>
                </c:pt>
                <c:pt idx="5">
                  <c:v>Mobile 17</c:v>
                </c:pt>
                <c:pt idx="6">
                  <c:v>Printer 2</c:v>
                </c:pt>
                <c:pt idx="7">
                  <c:v>Printer 20</c:v>
                </c:pt>
                <c:pt idx="8">
                  <c:v>Table 13</c:v>
                </c:pt>
                <c:pt idx="9">
                  <c:v>Table 8</c:v>
                </c:pt>
              </c:strCache>
            </c:strRef>
          </c:cat>
          <c:val>
            <c:numRef>
              <c:f>Sheet5!$B$4:$B$14</c:f>
              <c:numCache>
                <c:formatCode>General</c:formatCode>
                <c:ptCount val="10"/>
                <c:pt idx="0">
                  <c:v>779730</c:v>
                </c:pt>
                <c:pt idx="1">
                  <c:v>379309</c:v>
                </c:pt>
                <c:pt idx="2">
                  <c:v>761376</c:v>
                </c:pt>
                <c:pt idx="3">
                  <c:v>839250</c:v>
                </c:pt>
                <c:pt idx="4">
                  <c:v>1153677</c:v>
                </c:pt>
                <c:pt idx="5">
                  <c:v>307296</c:v>
                </c:pt>
                <c:pt idx="6">
                  <c:v>189652</c:v>
                </c:pt>
                <c:pt idx="7">
                  <c:v>408312</c:v>
                </c:pt>
                <c:pt idx="8">
                  <c:v>204079</c:v>
                </c:pt>
                <c:pt idx="9">
                  <c:v>206668</c:v>
                </c:pt>
              </c:numCache>
            </c:numRef>
          </c:val>
          <c:extLst>
            <c:ext xmlns:c16="http://schemas.microsoft.com/office/drawing/2014/chart" uri="{C3380CC4-5D6E-409C-BE32-E72D297353CC}">
              <c16:uniqueId val="{00000000-D4AC-4BD9-8E2A-10777A1D24BB}"/>
            </c:ext>
          </c:extLst>
        </c:ser>
        <c:dLbls>
          <c:showLegendKey val="0"/>
          <c:showVal val="0"/>
          <c:showCatName val="0"/>
          <c:showSerName val="0"/>
          <c:showPercent val="0"/>
          <c:showBubbleSize val="0"/>
        </c:dLbls>
        <c:gapWidth val="182"/>
        <c:axId val="981598959"/>
        <c:axId val="292623504"/>
      </c:barChart>
      <c:catAx>
        <c:axId val="9815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3504"/>
        <c:crosses val="autoZero"/>
        <c:auto val="1"/>
        <c:lblAlgn val="ctr"/>
        <c:lblOffset val="100"/>
        <c:noMultiLvlLbl val="0"/>
      </c:catAx>
      <c:valAx>
        <c:axId val="29262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Project.xlsx]Sheet10!PivotTable18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4-4F88-811C-878006A383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4-4F88-811C-878006A383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No</c:v>
                </c:pt>
                <c:pt idx="1">
                  <c:v>Yes</c:v>
                </c:pt>
              </c:strCache>
            </c:strRef>
          </c:cat>
          <c:val>
            <c:numRef>
              <c:f>Sheet10!$B$4:$B$6</c:f>
              <c:numCache>
                <c:formatCode>General</c:formatCode>
                <c:ptCount val="2"/>
                <c:pt idx="0">
                  <c:v>96</c:v>
                </c:pt>
                <c:pt idx="1">
                  <c:v>96</c:v>
                </c:pt>
              </c:numCache>
            </c:numRef>
          </c:val>
          <c:extLst>
            <c:ext xmlns:c16="http://schemas.microsoft.com/office/drawing/2014/chart" uri="{C3380CC4-5D6E-409C-BE32-E72D297353CC}">
              <c16:uniqueId val="{00000004-2D64-4F88-811C-878006A383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Project.xlsx]Sheet7!PivotTable11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FC-492B-9A8E-8825773749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FC-492B-9A8E-8825773749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FC-492B-9A8E-8825773749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Consumer</c:v>
                </c:pt>
                <c:pt idx="1">
                  <c:v>Corporate</c:v>
                </c:pt>
                <c:pt idx="2">
                  <c:v>Home Office</c:v>
                </c:pt>
              </c:strCache>
            </c:strRef>
          </c:cat>
          <c:val>
            <c:numRef>
              <c:f>Sheet7!$B$4:$B$7</c:f>
              <c:numCache>
                <c:formatCode>General</c:formatCode>
                <c:ptCount val="3"/>
                <c:pt idx="0">
                  <c:v>1323211</c:v>
                </c:pt>
                <c:pt idx="1">
                  <c:v>2455772</c:v>
                </c:pt>
                <c:pt idx="2">
                  <c:v>2449656</c:v>
                </c:pt>
              </c:numCache>
            </c:numRef>
          </c:val>
          <c:extLst>
            <c:ext xmlns:c16="http://schemas.microsoft.com/office/drawing/2014/chart" uri="{C3380CC4-5D6E-409C-BE32-E72D297353CC}">
              <c16:uniqueId val="{00000006-3DFC-492B-9A8E-8825773749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8C3CAAAE-6E97-3079-3BCD-486CB088B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121920</xdr:colOff>
      <xdr:row>8</xdr:row>
      <xdr:rowOff>106680</xdr:rowOff>
    </xdr:from>
    <xdr:to>
      <xdr:col>15</xdr:col>
      <xdr:colOff>121920</xdr:colOff>
      <xdr:row>22</xdr:row>
      <xdr:rowOff>13335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0FC5ABA1-8347-DF8A-01F6-AC6BF57D24C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879080" y="156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xdr:colOff>
      <xdr:row>5</xdr:row>
      <xdr:rowOff>7620</xdr:rowOff>
    </xdr:from>
    <xdr:to>
      <xdr:col>15</xdr:col>
      <xdr:colOff>426720</xdr:colOff>
      <xdr:row>12</xdr:row>
      <xdr:rowOff>99060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41E28AFE-1F05-EC5F-741C-8D8A70A910D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675120" y="9220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2</xdr:row>
      <xdr:rowOff>0</xdr:rowOff>
    </xdr:from>
    <xdr:to>
      <xdr:col>10</xdr:col>
      <xdr:colOff>167640</xdr:colOff>
      <xdr:row>17</xdr:row>
      <xdr:rowOff>0</xdr:rowOff>
    </xdr:to>
    <xdr:graphicFrame macro="">
      <xdr:nvGraphicFramePr>
        <xdr:cNvPr id="2" name="Chart 1">
          <a:extLst>
            <a:ext uri="{FF2B5EF4-FFF2-40B4-BE49-F238E27FC236}">
              <a16:creationId xmlns:a16="http://schemas.microsoft.com/office/drawing/2014/main" id="{2B0516E7-BAFD-C7F0-02EA-DEE638915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A9C69E90-F684-569D-640A-25CE2CB36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152400</xdr:colOff>
      <xdr:row>5</xdr:row>
      <xdr:rowOff>68580</xdr:rowOff>
    </xdr:from>
    <xdr:to>
      <xdr:col>5</xdr:col>
      <xdr:colOff>152400</xdr:colOff>
      <xdr:row>18</xdr:row>
      <xdr:rowOff>158115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BBB75A92-7FA5-5983-412C-A6D75668C61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1356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297180</xdr:colOff>
      <xdr:row>5</xdr:row>
      <xdr:rowOff>68580</xdr:rowOff>
    </xdr:from>
    <xdr:to>
      <xdr:col>12</xdr:col>
      <xdr:colOff>297180</xdr:colOff>
      <xdr:row>18</xdr:row>
      <xdr:rowOff>158115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76573017-C8F8-6B52-0B9A-9486B1B30B8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22554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9</xdr:row>
      <xdr:rowOff>68580</xdr:rowOff>
    </xdr:from>
    <xdr:to>
      <xdr:col>13</xdr:col>
      <xdr:colOff>205740</xdr:colOff>
      <xdr:row>22</xdr:row>
      <xdr:rowOff>158115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34353932-ACB5-3A9D-8543-FBDDED923C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74370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D36C8089-9017-C838-D17F-EBF43FD5F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182880</xdr:colOff>
      <xdr:row>4</xdr:row>
      <xdr:rowOff>15240</xdr:rowOff>
    </xdr:from>
    <xdr:to>
      <xdr:col>12</xdr:col>
      <xdr:colOff>182880</xdr:colOff>
      <xdr:row>17</xdr:row>
      <xdr:rowOff>104775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B4A44D9-2B3B-5FF4-1B84-19C7123331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1124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11</xdr:col>
      <xdr:colOff>38100</xdr:colOff>
      <xdr:row>21</xdr:row>
      <xdr:rowOff>41910</xdr:rowOff>
    </xdr:to>
    <xdr:graphicFrame macro="">
      <xdr:nvGraphicFramePr>
        <xdr:cNvPr id="2" name="Chart 1">
          <a:extLst>
            <a:ext uri="{FF2B5EF4-FFF2-40B4-BE49-F238E27FC236}">
              <a16:creationId xmlns:a16="http://schemas.microsoft.com/office/drawing/2014/main" id="{A388206D-39C8-D1AC-1C00-A6F06C6A9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457200</xdr:colOff>
      <xdr:row>17</xdr:row>
      <xdr:rowOff>144780</xdr:rowOff>
    </xdr:from>
    <xdr:to>
      <xdr:col>7</xdr:col>
      <xdr:colOff>175260</xdr:colOff>
      <xdr:row>32</xdr:row>
      <xdr:rowOff>144780</xdr:rowOff>
    </xdr:to>
    <xdr:graphicFrame macro="">
      <xdr:nvGraphicFramePr>
        <xdr:cNvPr id="2" name="Chart 1">
          <a:extLst>
            <a:ext uri="{FF2B5EF4-FFF2-40B4-BE49-F238E27FC236}">
              <a16:creationId xmlns:a16="http://schemas.microsoft.com/office/drawing/2014/main" id="{9767982D-5C6E-CA06-E89F-E0F42D00A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807720</xdr:colOff>
      <xdr:row>15</xdr:row>
      <xdr:rowOff>0</xdr:rowOff>
    </xdr:from>
    <xdr:to>
      <xdr:col>13</xdr:col>
      <xdr:colOff>198120</xdr:colOff>
      <xdr:row>30</xdr:row>
      <xdr:rowOff>0</xdr:rowOff>
    </xdr:to>
    <xdr:graphicFrame macro="">
      <xdr:nvGraphicFramePr>
        <xdr:cNvPr id="3" name="Chart 2">
          <a:extLst>
            <a:ext uri="{FF2B5EF4-FFF2-40B4-BE49-F238E27FC236}">
              <a16:creationId xmlns:a16="http://schemas.microsoft.com/office/drawing/2014/main" id="{BACFB8B4-1839-AEF8-DC22-0EDBBEC80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251460</xdr:colOff>
      <xdr:row>9</xdr:row>
      <xdr:rowOff>121920</xdr:rowOff>
    </xdr:from>
    <xdr:ext cx="906780" cy="487680"/>
    <xdr:sp macro="" textlink="">
      <xdr:nvSpPr>
        <xdr:cNvPr id="5" name="TextBox 4">
          <a:extLst>
            <a:ext uri="{FF2B5EF4-FFF2-40B4-BE49-F238E27FC236}">
              <a16:creationId xmlns:a16="http://schemas.microsoft.com/office/drawing/2014/main" id="{8E33C443-0BD8-3940-6264-700CC2EA78D4}"/>
            </a:ext>
          </a:extLst>
        </xdr:cNvPr>
        <xdr:cNvSpPr txBox="1"/>
      </xdr:nvSpPr>
      <xdr:spPr>
        <a:xfrm>
          <a:off x="6187440" y="1767840"/>
          <a:ext cx="9067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Sales</a:t>
          </a:r>
        </a:p>
        <a:p>
          <a:pPr algn="ctr"/>
          <a:r>
            <a:rPr lang="en-IN" sz="1100" b="0" i="0" u="none" strike="noStrike">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68871275</a:t>
          </a:r>
          <a:r>
            <a:rPr lang="en-IN" sz="1400">
              <a:effectLst/>
            </a:rPr>
            <a:t> </a:t>
          </a:r>
          <a:endParaRPr lang="en-IN" sz="1400"/>
        </a:p>
      </xdr:txBody>
    </xdr:sp>
    <xdr:clientData/>
  </xdr:oneCellAnchor>
  <xdr:oneCellAnchor>
    <xdr:from>
      <xdr:col>16</xdr:col>
      <xdr:colOff>0</xdr:colOff>
      <xdr:row>5</xdr:row>
      <xdr:rowOff>0</xdr:rowOff>
    </xdr:from>
    <xdr:ext cx="906780" cy="487680"/>
    <xdr:sp macro="" textlink="">
      <xdr:nvSpPr>
        <xdr:cNvPr id="11" name="TextBox 10">
          <a:extLst>
            <a:ext uri="{FF2B5EF4-FFF2-40B4-BE49-F238E27FC236}">
              <a16:creationId xmlns:a16="http://schemas.microsoft.com/office/drawing/2014/main" id="{1E8FA0C1-064C-4036-B5EC-6EE7359A47BF}"/>
            </a:ext>
          </a:extLst>
        </xdr:cNvPr>
        <xdr:cNvSpPr txBox="1"/>
      </xdr:nvSpPr>
      <xdr:spPr>
        <a:xfrm>
          <a:off x="11254740" y="914400"/>
          <a:ext cx="9067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Profit</a:t>
          </a:r>
        </a:p>
        <a:p>
          <a:pPr algn="ctr"/>
          <a:r>
            <a:rPr lang="en-IN" sz="1100" b="0" i="0" u="none" strike="noStrike">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11366565.6</a:t>
          </a:r>
          <a:r>
            <a:rPr lang="en-IN" sz="1400">
              <a:effectLst/>
            </a:rPr>
            <a:t> </a:t>
          </a:r>
          <a:endParaRPr lang="en-IN" sz="1400"/>
        </a:p>
      </xdr:txBody>
    </xdr:sp>
    <xdr:clientData/>
  </xdr:oneCellAnchor>
  <xdr:oneCellAnchor>
    <xdr:from>
      <xdr:col>14</xdr:col>
      <xdr:colOff>0</xdr:colOff>
      <xdr:row>9</xdr:row>
      <xdr:rowOff>0</xdr:rowOff>
    </xdr:from>
    <xdr:ext cx="906780" cy="487680"/>
    <xdr:sp macro="" textlink="">
      <xdr:nvSpPr>
        <xdr:cNvPr id="12" name="TextBox 11">
          <a:extLst>
            <a:ext uri="{FF2B5EF4-FFF2-40B4-BE49-F238E27FC236}">
              <a16:creationId xmlns:a16="http://schemas.microsoft.com/office/drawing/2014/main" id="{250B2A83-B286-4447-AAD4-0CDC89E84B18}"/>
            </a:ext>
          </a:extLst>
        </xdr:cNvPr>
        <xdr:cNvSpPr txBox="1"/>
      </xdr:nvSpPr>
      <xdr:spPr>
        <a:xfrm>
          <a:off x="10035540" y="1645920"/>
          <a:ext cx="9067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Orders</a:t>
          </a:r>
        </a:p>
        <a:p>
          <a:pPr algn="ctr"/>
          <a:r>
            <a:rPr lang="en-IN" sz="1400" b="0" i="0" u="none" strike="noStrike">
              <a:solidFill>
                <a:schemeClr val="tx1"/>
              </a:solidFill>
              <a:effectLst/>
              <a:latin typeface="+mn-lt"/>
              <a:ea typeface="+mn-ea"/>
              <a:cs typeface="+mn-cs"/>
            </a:rPr>
            <a:t> 1000</a:t>
          </a:r>
          <a:r>
            <a:rPr lang="en-IN" sz="1400">
              <a:effectLst/>
            </a:rPr>
            <a:t>   </a:t>
          </a:r>
          <a:endParaRPr lang="en-IN" sz="1400"/>
        </a:p>
      </xdr:txBody>
    </xdr:sp>
    <xdr:clientData/>
  </xdr:oneCellAnchor>
  <xdr:oneCellAnchor>
    <xdr:from>
      <xdr:col>14</xdr:col>
      <xdr:colOff>0</xdr:colOff>
      <xdr:row>14</xdr:row>
      <xdr:rowOff>0</xdr:rowOff>
    </xdr:from>
    <xdr:ext cx="906780" cy="487680"/>
    <xdr:sp macro="" textlink="">
      <xdr:nvSpPr>
        <xdr:cNvPr id="13" name="TextBox 12">
          <a:extLst>
            <a:ext uri="{FF2B5EF4-FFF2-40B4-BE49-F238E27FC236}">
              <a16:creationId xmlns:a16="http://schemas.microsoft.com/office/drawing/2014/main" id="{58DCA1F0-F743-4D14-8B0C-3840867D0103}"/>
            </a:ext>
          </a:extLst>
        </xdr:cNvPr>
        <xdr:cNvSpPr txBox="1"/>
      </xdr:nvSpPr>
      <xdr:spPr>
        <a:xfrm>
          <a:off x="10035540" y="2560320"/>
          <a:ext cx="9067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Average</a:t>
          </a:r>
          <a:r>
            <a:rPr lang="en-IN" sz="1100" baseline="0"/>
            <a:t> Order</a:t>
          </a:r>
          <a:endParaRPr lang="en-IN" sz="1100"/>
        </a:p>
        <a:p>
          <a:pPr algn="ctr"/>
          <a:r>
            <a:rPr lang="en-IN" sz="1400" b="0" i="0" u="none" strike="noStrike">
              <a:solidFill>
                <a:schemeClr val="tx1"/>
              </a:solidFill>
              <a:effectLst/>
              <a:latin typeface="+mn-lt"/>
              <a:ea typeface="+mn-ea"/>
              <a:cs typeface="+mn-cs"/>
            </a:rPr>
            <a:t> 68871275</a:t>
          </a:r>
          <a:r>
            <a:rPr lang="en-IN" sz="1400">
              <a:effectLst/>
            </a:rPr>
            <a:t> </a:t>
          </a:r>
          <a:endParaRPr lang="en-IN" sz="1400"/>
        </a:p>
      </xdr:txBody>
    </xdr:sp>
    <xdr:clientData/>
  </xdr:oneCellAnchor>
  <xdr:oneCellAnchor>
    <xdr:from>
      <xdr:col>12</xdr:col>
      <xdr:colOff>0</xdr:colOff>
      <xdr:row>6</xdr:row>
      <xdr:rowOff>0</xdr:rowOff>
    </xdr:from>
    <xdr:ext cx="906780" cy="487680"/>
    <xdr:sp macro="" textlink="">
      <xdr:nvSpPr>
        <xdr:cNvPr id="14" name="TextBox 13">
          <a:extLst>
            <a:ext uri="{FF2B5EF4-FFF2-40B4-BE49-F238E27FC236}">
              <a16:creationId xmlns:a16="http://schemas.microsoft.com/office/drawing/2014/main" id="{DEF3C0E3-A19F-4EF9-90E5-B05746BAEEC8}"/>
            </a:ext>
          </a:extLst>
        </xdr:cNvPr>
        <xdr:cNvSpPr txBox="1"/>
      </xdr:nvSpPr>
      <xdr:spPr>
        <a:xfrm>
          <a:off x="8816340" y="1097280"/>
          <a:ext cx="9067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solidFill>
                <a:schemeClr val="tx1"/>
              </a:solidFill>
              <a:latin typeface="+mn-lt"/>
              <a:ea typeface="+mn-ea"/>
              <a:cs typeface="+mn-cs"/>
            </a:rPr>
            <a:t>Total</a:t>
          </a:r>
          <a:r>
            <a:rPr lang="en-IN" sz="1100"/>
            <a:t> Quantity</a:t>
          </a:r>
        </a:p>
        <a:p>
          <a:pPr algn="ctr"/>
          <a:r>
            <a:rPr lang="en-IN" sz="1400" b="0" i="0" u="none" strike="noStrike">
              <a:solidFill>
                <a:schemeClr val="tx1"/>
              </a:solidFill>
              <a:effectLst/>
              <a:latin typeface="+mn-lt"/>
              <a:ea typeface="+mn-ea"/>
              <a:cs typeface="+mn-cs"/>
            </a:rPr>
            <a:t>3011</a:t>
          </a:r>
          <a:r>
            <a:rPr lang="en-IN">
              <a:effectLst/>
            </a:rPr>
            <a:t> </a:t>
          </a:r>
          <a:endParaRPr lang="en-IN" sz="14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30000</xdr:colOff>
      <xdr:row>2</xdr:row>
      <xdr:rowOff>18000</xdr:rowOff>
    </xdr:from>
    <xdr:ext cx="1206000" cy="487680"/>
    <xdr:sp macro="" textlink="">
      <xdr:nvSpPr>
        <xdr:cNvPr id="7" name="TextBox 6">
          <a:extLst>
            <a:ext uri="{FF2B5EF4-FFF2-40B4-BE49-F238E27FC236}">
              <a16:creationId xmlns:a16="http://schemas.microsoft.com/office/drawing/2014/main" id="{6C9F2F08-E400-4240-AD66-C33DCEB3EA0B}"/>
            </a:ext>
          </a:extLst>
        </xdr:cNvPr>
        <xdr:cNvSpPr txBox="1"/>
      </xdr:nvSpPr>
      <xdr:spPr>
        <a:xfrm>
          <a:off x="30000" y="378000"/>
          <a:ext cx="120600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Sales</a:t>
          </a:r>
        </a:p>
        <a:p>
          <a:pPr algn="ctr"/>
          <a:r>
            <a:rPr lang="en-IN" sz="1100" b="0" i="0" u="none" strike="noStrike">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68871275</a:t>
          </a:r>
          <a:r>
            <a:rPr lang="en-IN" sz="1400">
              <a:effectLst/>
            </a:rPr>
            <a:t> </a:t>
          </a:r>
          <a:endParaRPr lang="en-IN" sz="1400"/>
        </a:p>
      </xdr:txBody>
    </xdr:sp>
    <xdr:clientData/>
  </xdr:oneCellAnchor>
  <xdr:oneCellAnchor>
    <xdr:from>
      <xdr:col>2</xdr:col>
      <xdr:colOff>276000</xdr:colOff>
      <xdr:row>2</xdr:row>
      <xdr:rowOff>18000</xdr:rowOff>
    </xdr:from>
    <xdr:ext cx="1206000" cy="487680"/>
    <xdr:sp macro="" textlink="">
      <xdr:nvSpPr>
        <xdr:cNvPr id="8" name="TextBox 7">
          <a:extLst>
            <a:ext uri="{FF2B5EF4-FFF2-40B4-BE49-F238E27FC236}">
              <a16:creationId xmlns:a16="http://schemas.microsoft.com/office/drawing/2014/main" id="{46C50271-A7E2-4D14-8D1D-F45B0D45B781}"/>
            </a:ext>
          </a:extLst>
        </xdr:cNvPr>
        <xdr:cNvSpPr txBox="1"/>
      </xdr:nvSpPr>
      <xdr:spPr>
        <a:xfrm>
          <a:off x="1495200" y="383760"/>
          <a:ext cx="120600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Profit</a:t>
          </a:r>
        </a:p>
        <a:p>
          <a:pPr algn="ctr"/>
          <a:r>
            <a:rPr lang="en-IN" sz="1100" b="0" i="0" u="none" strike="noStrike">
              <a:solidFill>
                <a:schemeClr val="tx1"/>
              </a:solidFill>
              <a:effectLst/>
              <a:latin typeface="+mn-lt"/>
              <a:ea typeface="+mn-ea"/>
              <a:cs typeface="+mn-cs"/>
            </a:rPr>
            <a:t> </a:t>
          </a:r>
          <a:r>
            <a:rPr lang="en-IN" sz="1400" b="0" i="0" u="none" strike="noStrike">
              <a:solidFill>
                <a:schemeClr val="tx1"/>
              </a:solidFill>
              <a:effectLst/>
              <a:latin typeface="+mn-lt"/>
              <a:ea typeface="+mn-ea"/>
              <a:cs typeface="+mn-cs"/>
            </a:rPr>
            <a:t>11366565.6</a:t>
          </a:r>
          <a:r>
            <a:rPr lang="en-IN" sz="1400">
              <a:effectLst/>
            </a:rPr>
            <a:t> </a:t>
          </a:r>
          <a:endParaRPr lang="en-IN" sz="1400"/>
        </a:p>
      </xdr:txBody>
    </xdr:sp>
    <xdr:clientData/>
  </xdr:oneCellAnchor>
  <xdr:oneCellAnchor>
    <xdr:from>
      <xdr:col>4</xdr:col>
      <xdr:colOff>606120</xdr:colOff>
      <xdr:row>2</xdr:row>
      <xdr:rowOff>2760</xdr:rowOff>
    </xdr:from>
    <xdr:ext cx="1218000" cy="487680"/>
    <xdr:sp macro="" textlink="">
      <xdr:nvSpPr>
        <xdr:cNvPr id="9" name="TextBox 8">
          <a:extLst>
            <a:ext uri="{FF2B5EF4-FFF2-40B4-BE49-F238E27FC236}">
              <a16:creationId xmlns:a16="http://schemas.microsoft.com/office/drawing/2014/main" id="{E007A005-8067-4855-888A-6ED40E42DA47}"/>
            </a:ext>
          </a:extLst>
        </xdr:cNvPr>
        <xdr:cNvSpPr txBox="1"/>
      </xdr:nvSpPr>
      <xdr:spPr>
        <a:xfrm>
          <a:off x="3044520" y="368520"/>
          <a:ext cx="121800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Total Orders</a:t>
          </a:r>
        </a:p>
        <a:p>
          <a:pPr algn="ctr"/>
          <a:r>
            <a:rPr lang="en-IN" sz="1400" b="0" i="0" u="none" strike="noStrike">
              <a:solidFill>
                <a:schemeClr val="tx1"/>
              </a:solidFill>
              <a:effectLst/>
              <a:latin typeface="+mn-lt"/>
              <a:ea typeface="+mn-ea"/>
              <a:cs typeface="+mn-cs"/>
            </a:rPr>
            <a:t> 1000</a:t>
          </a:r>
          <a:r>
            <a:rPr lang="en-IN" sz="1400">
              <a:effectLst/>
            </a:rPr>
            <a:t>   </a:t>
          </a:r>
          <a:endParaRPr lang="en-IN" sz="1400"/>
        </a:p>
      </xdr:txBody>
    </xdr:sp>
    <xdr:clientData/>
  </xdr:oneCellAnchor>
  <xdr:oneCellAnchor>
    <xdr:from>
      <xdr:col>7</xdr:col>
      <xdr:colOff>334740</xdr:colOff>
      <xdr:row>1</xdr:row>
      <xdr:rowOff>181620</xdr:rowOff>
    </xdr:from>
    <xdr:ext cx="1224000" cy="534000"/>
    <xdr:sp macro="" textlink="">
      <xdr:nvSpPr>
        <xdr:cNvPr id="10" name="TextBox 9">
          <a:extLst>
            <a:ext uri="{FF2B5EF4-FFF2-40B4-BE49-F238E27FC236}">
              <a16:creationId xmlns:a16="http://schemas.microsoft.com/office/drawing/2014/main" id="{CC25E56F-D0A1-4FD9-B97C-99B9F683FE1D}"/>
            </a:ext>
          </a:extLst>
        </xdr:cNvPr>
        <xdr:cNvSpPr txBox="1"/>
      </xdr:nvSpPr>
      <xdr:spPr>
        <a:xfrm>
          <a:off x="4601940" y="364500"/>
          <a:ext cx="1224000" cy="53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t>Average</a:t>
          </a:r>
          <a:r>
            <a:rPr lang="en-IN" sz="1100" baseline="0"/>
            <a:t> Order</a:t>
          </a:r>
          <a:endParaRPr lang="en-IN" sz="1100"/>
        </a:p>
        <a:p>
          <a:pPr algn="ctr"/>
          <a:r>
            <a:rPr lang="en-IN" sz="1400" b="0" i="0" u="none" strike="noStrike">
              <a:solidFill>
                <a:schemeClr val="tx1"/>
              </a:solidFill>
              <a:effectLst/>
              <a:latin typeface="+mn-lt"/>
              <a:ea typeface="+mn-ea"/>
              <a:cs typeface="+mn-cs"/>
            </a:rPr>
            <a:t> 68871275</a:t>
          </a:r>
          <a:r>
            <a:rPr lang="en-IN" sz="1400">
              <a:effectLst/>
            </a:rPr>
            <a:t> </a:t>
          </a:r>
          <a:endParaRPr lang="en-IN" sz="1400"/>
        </a:p>
      </xdr:txBody>
    </xdr:sp>
    <xdr:clientData/>
  </xdr:oneCellAnchor>
  <xdr:oneCellAnchor>
    <xdr:from>
      <xdr:col>10</xdr:col>
      <xdr:colOff>71220</xdr:colOff>
      <xdr:row>2</xdr:row>
      <xdr:rowOff>0</xdr:rowOff>
    </xdr:from>
    <xdr:ext cx="1218000" cy="528000"/>
    <xdr:sp macro="" textlink="">
      <xdr:nvSpPr>
        <xdr:cNvPr id="11" name="TextBox 10">
          <a:extLst>
            <a:ext uri="{FF2B5EF4-FFF2-40B4-BE49-F238E27FC236}">
              <a16:creationId xmlns:a16="http://schemas.microsoft.com/office/drawing/2014/main" id="{502419F4-C769-4204-99C0-748B3AAEB8E5}"/>
            </a:ext>
          </a:extLst>
        </xdr:cNvPr>
        <xdr:cNvSpPr txBox="1"/>
      </xdr:nvSpPr>
      <xdr:spPr>
        <a:xfrm>
          <a:off x="6167220" y="365760"/>
          <a:ext cx="1218000" cy="52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solidFill>
                <a:schemeClr val="tx1"/>
              </a:solidFill>
              <a:latin typeface="+mn-lt"/>
              <a:ea typeface="+mn-ea"/>
              <a:cs typeface="+mn-cs"/>
            </a:rPr>
            <a:t>Total</a:t>
          </a:r>
          <a:r>
            <a:rPr lang="en-IN" sz="1100"/>
            <a:t> Quantity</a:t>
          </a:r>
        </a:p>
        <a:p>
          <a:pPr algn="ctr"/>
          <a:r>
            <a:rPr lang="en-IN" sz="1400" b="0" i="0" u="none" strike="noStrike">
              <a:solidFill>
                <a:schemeClr val="tx1"/>
              </a:solidFill>
              <a:effectLst/>
              <a:latin typeface="+mn-lt"/>
              <a:ea typeface="+mn-ea"/>
              <a:cs typeface="+mn-cs"/>
            </a:rPr>
            <a:t>3011</a:t>
          </a:r>
          <a:r>
            <a:rPr lang="en-IN">
              <a:effectLst/>
            </a:rPr>
            <a:t> </a:t>
          </a:r>
          <a:endParaRPr lang="en-IN" sz="1400"/>
        </a:p>
      </xdr:txBody>
    </xdr:sp>
    <xdr:clientData/>
  </xdr:oneCellAnchor>
  <xdr:twoCellAnchor editAs="oneCell">
    <xdr:from>
      <xdr:col>0</xdr:col>
      <xdr:colOff>68580</xdr:colOff>
      <xdr:row>5</xdr:row>
      <xdr:rowOff>7621</xdr:rowOff>
    </xdr:from>
    <xdr:to>
      <xdr:col>2</xdr:col>
      <xdr:colOff>518160</xdr:colOff>
      <xdr:row>11</xdr:row>
      <xdr:rowOff>7620</xdr:rowOff>
    </xdr:to>
    <mc:AlternateContent xmlns:mc="http://schemas.openxmlformats.org/markup-compatibility/2006">
      <mc:Choice xmlns:a14="http://schemas.microsoft.com/office/drawing/2010/main" Requires="a14">
        <xdr:graphicFrame macro="">
          <xdr:nvGraphicFramePr>
            <xdr:cNvPr id="13" name="State 1">
              <a:extLst>
                <a:ext uri="{FF2B5EF4-FFF2-40B4-BE49-F238E27FC236}">
                  <a16:creationId xmlns:a16="http://schemas.microsoft.com/office/drawing/2014/main" id="{6A191C38-1A3E-4B7B-9D8E-4419428094C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68580" y="937970"/>
              <a:ext cx="1672324" cy="1116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579120</xdr:colOff>
      <xdr:row>5</xdr:row>
      <xdr:rowOff>7621</xdr:rowOff>
    </xdr:from>
    <xdr:to>
      <xdr:col>5</xdr:col>
      <xdr:colOff>160020</xdr:colOff>
      <xdr:row>11</xdr:row>
      <xdr:rowOff>7620</xdr:rowOff>
    </xdr:to>
    <mc:AlternateContent xmlns:mc="http://schemas.openxmlformats.org/markup-compatibility/2006">
      <mc:Choice xmlns:a14="http://schemas.microsoft.com/office/drawing/2010/main" Requires="a14">
        <xdr:graphicFrame macro="">
          <xdr:nvGraphicFramePr>
            <xdr:cNvPr id="14" name="Month 1">
              <a:extLst>
                <a:ext uri="{FF2B5EF4-FFF2-40B4-BE49-F238E27FC236}">
                  <a16:creationId xmlns:a16="http://schemas.microsoft.com/office/drawing/2014/main" id="{254E3D56-FA83-47B3-A95D-44376FCC7AA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801864" y="937970"/>
              <a:ext cx="1415016" cy="1116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220980</xdr:colOff>
      <xdr:row>5</xdr:row>
      <xdr:rowOff>1</xdr:rowOff>
    </xdr:from>
    <xdr:to>
      <xdr:col>7</xdr:col>
      <xdr:colOff>312420</xdr:colOff>
      <xdr:row>11</xdr:row>
      <xdr:rowOff>0</xdr:rowOff>
    </xdr:to>
    <mc:AlternateContent xmlns:mc="http://schemas.openxmlformats.org/markup-compatibility/2006">
      <mc:Choice xmlns:a14="http://schemas.microsoft.com/office/drawing/2010/main" Requires="a14">
        <xdr:graphicFrame macro="">
          <xdr:nvGraphicFramePr>
            <xdr:cNvPr id="15" name="Segment 1">
              <a:extLst>
                <a:ext uri="{FF2B5EF4-FFF2-40B4-BE49-F238E27FC236}">
                  <a16:creationId xmlns:a16="http://schemas.microsoft.com/office/drawing/2014/main" id="{79719843-2807-475A-903C-D6949BE1880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3277840" y="930350"/>
              <a:ext cx="1314185" cy="1116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5</xdr:row>
      <xdr:rowOff>7620</xdr:rowOff>
    </xdr:from>
    <xdr:to>
      <xdr:col>9</xdr:col>
      <xdr:colOff>426720</xdr:colOff>
      <xdr:row>11</xdr:row>
      <xdr:rowOff>7621</xdr:rowOff>
    </xdr:to>
    <mc:AlternateContent xmlns:mc="http://schemas.openxmlformats.org/markup-compatibility/2006">
      <mc:Choice xmlns:a14="http://schemas.microsoft.com/office/drawing/2010/main" Requires="a14">
        <xdr:graphicFrame macro="">
          <xdr:nvGraphicFramePr>
            <xdr:cNvPr id="16" name="Year 1">
              <a:extLst>
                <a:ext uri="{FF2B5EF4-FFF2-40B4-BE49-F238E27FC236}">
                  <a16:creationId xmlns:a16="http://schemas.microsoft.com/office/drawing/2014/main" id="{CD6FDBB4-4523-4153-BABE-5CAC1D58B67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675845" y="937969"/>
              <a:ext cx="1253224" cy="111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5</xdr:row>
      <xdr:rowOff>7621</xdr:rowOff>
    </xdr:from>
    <xdr:to>
      <xdr:col>11</xdr:col>
      <xdr:colOff>487680</xdr:colOff>
      <xdr:row>11</xdr:row>
      <xdr:rowOff>7621</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9637ED19-361E-4042-BF72-AD69D0163AF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005269" y="937970"/>
              <a:ext cx="1207504" cy="111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53340</xdr:rowOff>
    </xdr:from>
    <xdr:to>
      <xdr:col>5</xdr:col>
      <xdr:colOff>497633</xdr:colOff>
      <xdr:row>20</xdr:row>
      <xdr:rowOff>62205</xdr:rowOff>
    </xdr:to>
    <xdr:graphicFrame macro="">
      <xdr:nvGraphicFramePr>
        <xdr:cNvPr id="19" name="Chart 18">
          <a:extLst>
            <a:ext uri="{FF2B5EF4-FFF2-40B4-BE49-F238E27FC236}">
              <a16:creationId xmlns:a16="http://schemas.microsoft.com/office/drawing/2014/main" id="{284AD342-8796-4C1E-862C-F1D3E238D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601306</xdr:colOff>
      <xdr:row>11</xdr:row>
      <xdr:rowOff>51371</xdr:rowOff>
    </xdr:from>
    <xdr:to>
      <xdr:col>12</xdr:col>
      <xdr:colOff>0</xdr:colOff>
      <xdr:row>20</xdr:row>
      <xdr:rowOff>46653</xdr:rowOff>
    </xdr:to>
    <xdr:graphicFrame macro="">
      <xdr:nvGraphicFramePr>
        <xdr:cNvPr id="20" name="Chart 19">
          <a:extLst>
            <a:ext uri="{FF2B5EF4-FFF2-40B4-BE49-F238E27FC236}">
              <a16:creationId xmlns:a16="http://schemas.microsoft.com/office/drawing/2014/main" id="{1E8DB522-F366-4573-A06C-7E325BAAC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103673</xdr:rowOff>
    </xdr:from>
    <xdr:to>
      <xdr:col>5</xdr:col>
      <xdr:colOff>502817</xdr:colOff>
      <xdr:row>30</xdr:row>
      <xdr:rowOff>176245</xdr:rowOff>
    </xdr:to>
    <xdr:graphicFrame macro="">
      <xdr:nvGraphicFramePr>
        <xdr:cNvPr id="21" name="Chart 20">
          <a:extLst>
            <a:ext uri="{FF2B5EF4-FFF2-40B4-BE49-F238E27FC236}">
              <a16:creationId xmlns:a16="http://schemas.microsoft.com/office/drawing/2014/main" id="{379DD4BB-9503-4E90-ACA2-8AA1CF2D1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601307</xdr:colOff>
      <xdr:row>20</xdr:row>
      <xdr:rowOff>88123</xdr:rowOff>
    </xdr:from>
    <xdr:to>
      <xdr:col>12</xdr:col>
      <xdr:colOff>5183</xdr:colOff>
      <xdr:row>31</xdr:row>
      <xdr:rowOff>15551</xdr:rowOff>
    </xdr:to>
    <xdr:graphicFrame macro="">
      <xdr:nvGraphicFramePr>
        <xdr:cNvPr id="22" name="Chart 21">
          <a:extLst>
            <a:ext uri="{FF2B5EF4-FFF2-40B4-BE49-F238E27FC236}">
              <a16:creationId xmlns:a16="http://schemas.microsoft.com/office/drawing/2014/main" id="{E47E8E87-8432-45AC-84E3-B38BC3CC5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67900</xdr:rowOff>
    </xdr:from>
    <xdr:to>
      <xdr:col>5</xdr:col>
      <xdr:colOff>490396</xdr:colOff>
      <xdr:row>42</xdr:row>
      <xdr:rowOff>37723</xdr:rowOff>
    </xdr:to>
    <xdr:graphicFrame macro="">
      <xdr:nvGraphicFramePr>
        <xdr:cNvPr id="23" name="Chart 22">
          <a:extLst>
            <a:ext uri="{FF2B5EF4-FFF2-40B4-BE49-F238E27FC236}">
              <a16:creationId xmlns:a16="http://schemas.microsoft.com/office/drawing/2014/main" id="{55770971-5C24-456F-9436-0D8A6C057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603564</xdr:colOff>
      <xdr:row>31</xdr:row>
      <xdr:rowOff>82990</xdr:rowOff>
    </xdr:from>
    <xdr:to>
      <xdr:col>12</xdr:col>
      <xdr:colOff>15090</xdr:colOff>
      <xdr:row>42</xdr:row>
      <xdr:rowOff>47297</xdr:rowOff>
    </xdr:to>
    <xdr:graphicFrame macro="">
      <xdr:nvGraphicFramePr>
        <xdr:cNvPr id="24" name="Chart 23">
          <a:extLst>
            <a:ext uri="{FF2B5EF4-FFF2-40B4-BE49-F238E27FC236}">
              <a16:creationId xmlns:a16="http://schemas.microsoft.com/office/drawing/2014/main" id="{2638F5A2-8AF2-44B6-960E-DA0F25E4D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603564</xdr:colOff>
      <xdr:row>42</xdr:row>
      <xdr:rowOff>90536</xdr:rowOff>
    </xdr:from>
    <xdr:to>
      <xdr:col>12</xdr:col>
      <xdr:colOff>5255</xdr:colOff>
      <xdr:row>50</xdr:row>
      <xdr:rowOff>110359</xdr:rowOff>
    </xdr:to>
    <xdr:graphicFrame macro="">
      <xdr:nvGraphicFramePr>
        <xdr:cNvPr id="27" name="Chart 26">
          <a:extLst>
            <a:ext uri="{FF2B5EF4-FFF2-40B4-BE49-F238E27FC236}">
              <a16:creationId xmlns:a16="http://schemas.microsoft.com/office/drawing/2014/main" id="{766C4377-C85B-4D69-B3C8-C8FE2A47A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42</xdr:row>
      <xdr:rowOff>67901</xdr:rowOff>
    </xdr:from>
    <xdr:to>
      <xdr:col>5</xdr:col>
      <xdr:colOff>475306</xdr:colOff>
      <xdr:row>50</xdr:row>
      <xdr:rowOff>120713</xdr:rowOff>
    </xdr:to>
    <xdr:graphicFrame macro="">
      <xdr:nvGraphicFramePr>
        <xdr:cNvPr id="28" name="Chart 27">
          <a:extLst>
            <a:ext uri="{FF2B5EF4-FFF2-40B4-BE49-F238E27FC236}">
              <a16:creationId xmlns:a16="http://schemas.microsoft.com/office/drawing/2014/main" id="{3FF0C6D6-D381-4525-8686-AE4882AA1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i" refreshedDate="46213.663528124998" createdVersion="8" refreshedVersion="8" minRefreshableVersion="3" recordCount="1000" xr:uid="{474B86E7-5705-4A6C-A5E4-4F4C925D85DD}">
  <cacheSource type="worksheet">
    <worksheetSource name="Orders"/>
  </cacheSource>
  <cacheFields count="11">
    <cacheField name="Order_ID" numFmtId="0">
      <sharedItems/>
    </cacheField>
    <cacheField name="Order_Date" numFmtId="14">
      <sharedItems containsSemiMixedTypes="0" containsNonDate="0" containsDate="1" containsString="0" minDate="2024-01-01T00:00:00" maxDate="2024-12-31T00:00:00"/>
    </cacheField>
    <cacheField name="Customer_ID" numFmtId="0">
      <sharedItems/>
    </cacheField>
    <cacheField name="Product_ID" numFmtId="0">
      <sharedItems count="20">
        <s v="P008"/>
        <s v="P013"/>
        <s v="P009"/>
        <s v="P011"/>
        <s v="P020"/>
        <s v="P003"/>
        <s v="P004"/>
        <s v="P018"/>
        <s v="P019"/>
        <s v="P002"/>
        <s v="P012"/>
        <s v="P017"/>
        <s v="P006"/>
        <s v="P005"/>
        <s v="P007"/>
        <s v="P015"/>
        <s v="P010"/>
        <s v="P014"/>
        <s v="P016"/>
        <s v="P001"/>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6025" maxValue="279750"/>
    </cacheField>
    <cacheField name="Profit" numFmtId="0">
      <sharedItems containsSemiMixedTypes="0" containsString="0" containsNumber="1" minValue="580.51" maxValue="66476.960000000006"/>
    </cacheField>
    <cacheField name="Month" numFmtId="0">
      <sharedItems count="12">
        <s v="February"/>
        <s v="May"/>
        <s v="April"/>
        <s v="June"/>
        <s v="November"/>
        <s v="August"/>
        <s v="July"/>
        <s v="October"/>
        <s v="January"/>
        <s v="March"/>
        <s v="December"/>
        <s v="September"/>
      </sharedItems>
    </cacheField>
    <cacheField name="Year" numFmtId="0">
      <sharedItems containsSemiMixedTypes="0" containsString="0" containsNumber="1" containsInteger="1" minValue="2024" maxValue="2024"/>
    </cacheField>
    <cacheField name="Quarter" numFmtId="0">
      <sharedItems/>
    </cacheField>
    <cacheField name="Profit Margin %" numFmtId="0">
      <sharedItems containsSemiMixedTypes="0" containsString="0" containsNumber="1" minValue="8.0112149532710273" maxValue="24.985125583627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713870949075" backgroundQuery="1" createdVersion="8" refreshedVersion="8" minRefreshableVersion="3" recordCount="0" supportSubquery="1" supportAdvancedDrill="1" xr:uid="{C9D73854-7C2A-45BB-89AF-D5BFFB8F5821}">
  <cacheSource type="external" connectionId="5"/>
  <cacheFields count="3">
    <cacheField name="[Customers].[State].[State]" caption="State" numFmtId="0" hierarchy="5" level="1">
      <sharedItems count="4">
        <s v="Delhi"/>
        <s v="Karnataka"/>
        <s v="Maharashtra"/>
        <s v="Telangana"/>
      </sharedItems>
    </cacheField>
    <cacheField name="[Measures].[Sum of Sales]" caption="Sum of Sales" numFmtId="0" hierarchy="30" level="32767"/>
    <cacheField name="[Orders].[Order_Date].[Order_Date]" caption="Order_Date" numFmtId="0" hierarchy="8" level="1">
      <sharedItems containsSemiMixedTypes="0" containsNonDate="0" containsString="0"/>
    </cacheField>
  </cacheFields>
  <cacheHierarchies count="3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Profit Margin %]" caption="Profit Margin %" attribute="1" defaultMemberUniqueName="[Orders].[Profit Margin %].[All]" allUniqueName="[Orders].[Profit Margin %].[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Returns].[Order_ID]" caption="Order_ID" attribute="1" defaultMemberUniqueName="[Returns].[Order_ID].[All]" allUniqueName="[Returns].[Order_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713871527776" backgroundQuery="1" createdVersion="8" refreshedVersion="8" minRefreshableVersion="3" recordCount="0" supportSubquery="1" supportAdvancedDrill="1" xr:uid="{FA6F348E-4AE5-4096-91ED-C45880F8282A}">
  <cacheSource type="external" connectionId="5"/>
  <cacheFields count="4">
    <cacheField name="[Measures].[Count of Order_ID]" caption="Count of Order_ID" numFmtId="0" hierarchy="31" level="32767"/>
    <cacheField name="[Returns].[Returned].[Returned]" caption="Returned" numFmtId="0" hierarchy="24" level="1">
      <sharedItems count="2">
        <s v="No"/>
        <s v="Yes"/>
      </sharedItems>
    </cacheField>
    <cacheField name="[Orders].[Order_Date].[Order_Date]" caption="Order_Date" numFmtId="0" hierarchy="8" level="1">
      <sharedItems containsSemiMixedTypes="0" containsNonDate="0" containsString="0"/>
    </cacheField>
    <cacheField name="[Customers].[State].[State]" caption="State" numFmtId="0" hierarchy="5" level="1">
      <sharedItems containsSemiMixedTypes="0" containsNonDate="0" containsString="0"/>
    </cacheField>
  </cacheFields>
  <cacheHierarchies count="3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Returns].[Order_ID]" caption="Order_ID" attribute="1" defaultMemberUniqueName="[Returns].[Order_ID].[All]" allUniqueName="[Returns].[Order_ID].[All]" dimensionUniqueName="[Returns]"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713871874999" backgroundQuery="1" createdVersion="8" refreshedVersion="8" minRefreshableVersion="3" recordCount="0" supportSubquery="1" supportAdvancedDrill="1" xr:uid="{8EFEADF8-B92F-4ADA-BF76-75CD4EEEA900}">
  <cacheSource type="external" connectionId="5"/>
  <cacheFields count="4">
    <cacheField name="[Measures].[Sum of Sales]" caption="Sum of Sales" numFmtId="0" hierarchy="30" level="32767"/>
    <cacheField name="[Products].[Product_Name].[Product_Name]" caption="Product_Name" numFmtId="0" hierarchy="19" level="1">
      <sharedItems count="10">
        <s v="Laptop 11"/>
        <s v="Laptop 14"/>
        <s v="Laptop 16"/>
        <s v="Laptop 5"/>
        <s v="Laptop 9"/>
        <s v="Mobile 17"/>
        <s v="Printer 2"/>
        <s v="Printer 20"/>
        <s v="Table 13"/>
        <s v="Table 8"/>
      </sharedItems>
    </cacheField>
    <cacheField name="[Orders].[Order_Date].[Order_Date]" caption="Order_Date" numFmtId="0" hierarchy="8" level="1">
      <sharedItems containsSemiMixedTypes="0" containsNonDate="0" containsString="0"/>
    </cacheField>
    <cacheField name="[Customers].[State].[State]" caption="State" numFmtId="0" hierarchy="5" level="1">
      <sharedItems containsSemiMixedTypes="0" containsNonDate="0" containsString="0"/>
    </cacheField>
  </cacheFields>
  <cacheHierarchies count="3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Returns].[Order_ID]" caption="Order_ID" attribute="1" defaultMemberUniqueName="[Returns].[Order_ID].[All]" allUniqueName="[Returns].[Order_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713872222223" backgroundQuery="1" createdVersion="8" refreshedVersion="8" minRefreshableVersion="3" recordCount="0" supportSubquery="1" supportAdvancedDrill="1" xr:uid="{7A3E8BB0-3DCC-4299-8EA2-99D6D2916772}">
  <cacheSource type="external" connectionId="5"/>
  <cacheFields count="4">
    <cacheField name="[Customers].[Segment].[Segment]" caption="Segment" numFmtId="0" hierarchy="6" level="1">
      <sharedItems count="3">
        <s v="Consumer"/>
        <s v="Corporate"/>
        <s v="Home Office"/>
      </sharedItems>
    </cacheField>
    <cacheField name="[Measures].[Sum of Sales]" caption="Sum of Sales" numFmtId="0" hierarchy="30" level="32767"/>
    <cacheField name="[Orders].[Order_Date].[Order_Date]" caption="Order_Date" numFmtId="0" hierarchy="8" level="1">
      <sharedItems containsSemiMixedTypes="0" containsNonDate="0" containsString="0"/>
    </cacheField>
    <cacheField name="[Customers].[State].[State]" caption="State" numFmtId="0" hierarchy="5" level="1">
      <sharedItems containsSemiMixedTypes="0" containsNonDate="0" containsString="0"/>
    </cacheField>
  </cacheFields>
  <cacheHierarchies count="3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Profit Margin %]" caption="Profit Margin %" attribute="1" defaultMemberUniqueName="[Orders].[Profit Margin %].[All]" allUniqueName="[Orders].[Profit Margin %].[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Returns].[Order_ID]" caption="Order_ID" attribute="1" defaultMemberUniqueName="[Returns].[Order_ID].[All]" allUniqueName="[Returns].[Order_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713872569446" backgroundQuery="1" createdVersion="8" refreshedVersion="8" minRefreshableVersion="3" recordCount="0" supportSubquery="1" supportAdvancedDrill="1" xr:uid="{678FD15D-0285-456C-BC8B-067E2161EBBC}">
  <cacheSource type="external" connectionId="5"/>
  <cacheFields count="4">
    <cacheField name="[Products].[Category].[Category]" caption="Category" numFmtId="0" hierarchy="20" level="1">
      <sharedItems count="2">
        <s v="Furniture"/>
        <s v="Technology"/>
      </sharedItems>
    </cacheField>
    <cacheField name="[Measures].[Sum of Sales]" caption="Sum of Sales" numFmtId="0" hierarchy="30" level="32767"/>
    <cacheField name="[Orders].[Order_Date].[Order_Date]" caption="Order_Date" numFmtId="0" hierarchy="8" level="1">
      <sharedItems containsSemiMixedTypes="0" containsNonDate="0" containsString="0"/>
    </cacheField>
    <cacheField name="[Customers].[State].[State]" caption="State" numFmtId="0" hierarchy="5" level="1">
      <sharedItems containsSemiMixedTypes="0" containsNonDate="0" containsString="0"/>
    </cacheField>
  </cacheFields>
  <cacheHierarchies count="3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Profit Margin %]" caption="Profit Margin %" attribute="1" defaultMemberUniqueName="[Orders].[Profit Margin %].[All]" allUniqueName="[Orders].[Profit Margin %].[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Returns].[Order_ID]" caption="Order_ID" attribute="1" defaultMemberUniqueName="[Returns].[Order_ID].[All]" allUniqueName="[Returns].[Order_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679078009256" backgroundQuery="1" createdVersion="3" refreshedVersion="8" minRefreshableVersion="3" recordCount="0" supportSubquery="1" supportAdvancedDrill="1" xr:uid="{9261067A-5E98-4251-841D-C2A776477F6E}">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Month]" caption="Month" attribute="1" defaultMemberUniqueName="[Orders].[Month].[All]" allUniqueName="[Orders].[Month].[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Returns].[Order_ID]" caption="Order_ID" attribute="1" defaultMemberUniqueName="[Returns].[Order_ID].[All]" allUniqueName="[Returns].[Order_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3056774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refreshedDate="46213.681100578702" backgroundQuery="1" createdVersion="3" refreshedVersion="8" minRefreshableVersion="3" recordCount="0" supportSubquery="1" supportAdvancedDrill="1" xr:uid="{967E9F03-0F07-4307-A198-BEBD5DA62D1D}">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Month]" caption="Month" attribute="1" defaultMemberUniqueName="[Orders].[Month].[All]" allUniqueName="[Orders].[Month].[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Returns].[Order_ID]" caption="Order_ID" attribute="1" defaultMemberUniqueName="[Returns].[Order_ID].[All]" allUniqueName="[Returns].[Order_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6715172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1"/>
    <d v="2024-02-22T00:00:00"/>
    <s v="C088"/>
    <x v="0"/>
    <n v="2"/>
    <n v="18788"/>
    <n v="3879.37"/>
    <x v="0"/>
    <n v="2024"/>
    <s v="Q1"/>
    <n v="20.648126463700233"/>
  </r>
  <r>
    <s v="O0002"/>
    <d v="2024-05-30T00:00:00"/>
    <s v="C056"/>
    <x v="1"/>
    <n v="5"/>
    <n v="44365"/>
    <n v="10406.6"/>
    <x v="1"/>
    <n v="2024"/>
    <s v="Q2"/>
    <n v="23.456778992449003"/>
  </r>
  <r>
    <s v="O0003"/>
    <d v="2024-04-16T00:00:00"/>
    <s v="C071"/>
    <x v="2"/>
    <n v="4"/>
    <n v="219748"/>
    <n v="29327.16"/>
    <x v="2"/>
    <n v="2024"/>
    <s v="Q2"/>
    <n v="13.345814296375849"/>
  </r>
  <r>
    <s v="O0004"/>
    <d v="2024-05-31T00:00:00"/>
    <s v="C084"/>
    <x v="3"/>
    <n v="1"/>
    <n v="55695"/>
    <n v="4713.7299999999996"/>
    <x v="1"/>
    <n v="2024"/>
    <s v="Q2"/>
    <n v="8.4634706885716842"/>
  </r>
  <r>
    <s v="O0005"/>
    <d v="2024-06-09T00:00:00"/>
    <s v="C093"/>
    <x v="4"/>
    <n v="3"/>
    <n v="34026"/>
    <n v="5324.17"/>
    <x v="3"/>
    <n v="2024"/>
    <s v="Q2"/>
    <n v="15.647357902780227"/>
  </r>
  <r>
    <s v="O0006"/>
    <d v="2024-11-03T00:00:00"/>
    <s v="C052"/>
    <x v="5"/>
    <n v="1"/>
    <n v="8626"/>
    <n v="2029.5"/>
    <x v="4"/>
    <n v="2024"/>
    <s v="Q4"/>
    <n v="23.527706932529561"/>
  </r>
  <r>
    <s v="O0007"/>
    <d v="2024-11-12T00:00:00"/>
    <s v="C059"/>
    <x v="6"/>
    <n v="3"/>
    <n v="75477"/>
    <n v="8799.32"/>
    <x v="4"/>
    <n v="2024"/>
    <s v="Q4"/>
    <n v="11.658280005829589"/>
  </r>
  <r>
    <s v="O0008"/>
    <d v="2024-05-12T00:00:00"/>
    <s v="C100"/>
    <x v="7"/>
    <n v="4"/>
    <n v="33448"/>
    <n v="6439.14"/>
    <x v="1"/>
    <n v="2024"/>
    <s v="Q2"/>
    <n v="19.251195886151638"/>
  </r>
  <r>
    <s v="O0009"/>
    <d v="2024-05-06T00:00:00"/>
    <s v="C024"/>
    <x v="7"/>
    <n v="2"/>
    <n v="16724"/>
    <n v="2211.66"/>
    <x v="1"/>
    <n v="2024"/>
    <s v="Q2"/>
    <n v="13.224467830662521"/>
  </r>
  <r>
    <s v="O0010"/>
    <d v="2024-08-17T00:00:00"/>
    <s v="C047"/>
    <x v="5"/>
    <n v="3"/>
    <n v="25878"/>
    <n v="2463.6"/>
    <x v="5"/>
    <n v="2024"/>
    <s v="Q3"/>
    <n v="9.5200556457222341"/>
  </r>
  <r>
    <s v="O0011"/>
    <d v="2024-07-18T00:00:00"/>
    <s v="C012"/>
    <x v="8"/>
    <n v="3"/>
    <n v="72708"/>
    <n v="17444.46"/>
    <x v="6"/>
    <n v="2024"/>
    <s v="Q3"/>
    <n v="23.992490509985146"/>
  </r>
  <r>
    <s v="O0012"/>
    <d v="2024-10-23T00:00:00"/>
    <s v="C040"/>
    <x v="9"/>
    <n v="3"/>
    <n v="33468"/>
    <n v="3740.32"/>
    <x v="7"/>
    <n v="2024"/>
    <s v="Q4"/>
    <n v="11.175809728696068"/>
  </r>
  <r>
    <s v="O0013"/>
    <d v="2024-11-09T00:00:00"/>
    <s v="C039"/>
    <x v="0"/>
    <n v="3"/>
    <n v="28182"/>
    <n v="2738.19"/>
    <x v="4"/>
    <n v="2024"/>
    <s v="Q4"/>
    <n v="9.716095380029806"/>
  </r>
  <r>
    <s v="O0014"/>
    <d v="2024-01-11T00:00:00"/>
    <s v="C075"/>
    <x v="4"/>
    <n v="1"/>
    <n v="11342"/>
    <n v="1379.94"/>
    <x v="8"/>
    <n v="2024"/>
    <s v="Q1"/>
    <n v="12.166637277376125"/>
  </r>
  <r>
    <s v="O0015"/>
    <d v="2024-02-06T00:00:00"/>
    <s v="C032"/>
    <x v="1"/>
    <n v="1"/>
    <n v="8873"/>
    <n v="1114.19"/>
    <x v="0"/>
    <n v="2024"/>
    <s v="Q1"/>
    <n v="12.557083286374397"/>
  </r>
  <r>
    <s v="O0016"/>
    <d v="2024-05-28T00:00:00"/>
    <s v="C094"/>
    <x v="5"/>
    <n v="1"/>
    <n v="8626"/>
    <n v="1621.82"/>
    <x v="1"/>
    <n v="2024"/>
    <s v="Q2"/>
    <n v="18.801530257361463"/>
  </r>
  <r>
    <s v="O0017"/>
    <d v="2024-03-19T00:00:00"/>
    <s v="C097"/>
    <x v="10"/>
    <n v="4"/>
    <n v="24100"/>
    <n v="3848.81"/>
    <x v="9"/>
    <n v="2024"/>
    <s v="Q1"/>
    <n v="15.970165975103734"/>
  </r>
  <r>
    <s v="O0018"/>
    <d v="2024-12-06T00:00:00"/>
    <s v="C013"/>
    <x v="11"/>
    <n v="3"/>
    <n v="76824"/>
    <n v="7152.94"/>
    <x v="10"/>
    <n v="2024"/>
    <s v="Q4"/>
    <n v="9.3108143288555656"/>
  </r>
  <r>
    <s v="O0019"/>
    <d v="2024-06-12T00:00:00"/>
    <s v="C023"/>
    <x v="12"/>
    <n v="2"/>
    <n v="13494"/>
    <n v="3338.85"/>
    <x v="3"/>
    <n v="2024"/>
    <s v="Q2"/>
    <n v="24.743219208537127"/>
  </r>
  <r>
    <s v="O0020"/>
    <d v="2024-11-04T00:00:00"/>
    <s v="C040"/>
    <x v="6"/>
    <n v="5"/>
    <n v="125795"/>
    <n v="27913.55"/>
    <x v="4"/>
    <n v="2024"/>
    <s v="Q4"/>
    <n v="22.18971342263206"/>
  </r>
  <r>
    <s v="O0021"/>
    <d v="2024-01-17T00:00:00"/>
    <s v="C038"/>
    <x v="13"/>
    <n v="2"/>
    <n v="111900"/>
    <n v="11647.19"/>
    <x v="8"/>
    <n v="2024"/>
    <s v="Q1"/>
    <n v="10.40857015192136"/>
  </r>
  <r>
    <s v="O0022"/>
    <d v="2024-10-10T00:00:00"/>
    <s v="C100"/>
    <x v="3"/>
    <n v="5"/>
    <n v="278475"/>
    <n v="60333.16"/>
    <x v="7"/>
    <n v="2024"/>
    <s v="Q4"/>
    <n v="21.665557051799983"/>
  </r>
  <r>
    <s v="O0023"/>
    <d v="2024-10-02T00:00:00"/>
    <s v="C096"/>
    <x v="14"/>
    <n v="2"/>
    <n v="14310"/>
    <n v="1872"/>
    <x v="7"/>
    <n v="2024"/>
    <s v="Q4"/>
    <n v="13.081761006289309"/>
  </r>
  <r>
    <s v="O0024"/>
    <d v="2024-02-02T00:00:00"/>
    <s v="C021"/>
    <x v="9"/>
    <n v="2"/>
    <n v="22312"/>
    <n v="2743.03"/>
    <x v="0"/>
    <n v="2024"/>
    <s v="Q1"/>
    <n v="12.293967371817857"/>
  </r>
  <r>
    <s v="O0025"/>
    <d v="2024-10-04T00:00:00"/>
    <s v="C088"/>
    <x v="15"/>
    <n v="4"/>
    <n v="44940"/>
    <n v="7791.51"/>
    <x v="7"/>
    <n v="2024"/>
    <s v="Q4"/>
    <n v="17.337583444592791"/>
  </r>
  <r>
    <s v="O0026"/>
    <d v="2024-06-22T00:00:00"/>
    <s v="C057"/>
    <x v="7"/>
    <n v="4"/>
    <n v="33448"/>
    <n v="2737.63"/>
    <x v="3"/>
    <n v="2024"/>
    <s v="Q2"/>
    <n v="8.1847345132743357"/>
  </r>
  <r>
    <s v="O0027"/>
    <d v="2024-11-26T00:00:00"/>
    <s v="C022"/>
    <x v="2"/>
    <n v="4"/>
    <n v="219748"/>
    <n v="18491.669999999998"/>
    <x v="4"/>
    <n v="2024"/>
    <s v="Q4"/>
    <n v="8.4149434807142729"/>
  </r>
  <r>
    <s v="O0028"/>
    <d v="2024-06-30T00:00:00"/>
    <s v="C054"/>
    <x v="8"/>
    <n v="1"/>
    <n v="24236"/>
    <n v="2195.65"/>
    <x v="3"/>
    <n v="2024"/>
    <s v="Q2"/>
    <n v="9.0594570061066193"/>
  </r>
  <r>
    <s v="O0029"/>
    <d v="2024-05-12T00:00:00"/>
    <s v="C075"/>
    <x v="13"/>
    <n v="5"/>
    <n v="279750"/>
    <n v="28330.82"/>
    <x v="1"/>
    <n v="2024"/>
    <s v="Q2"/>
    <n v="10.127192135835568"/>
  </r>
  <r>
    <s v="O0030"/>
    <d v="2024-11-09T00:00:00"/>
    <s v="C036"/>
    <x v="1"/>
    <n v="5"/>
    <n v="44365"/>
    <n v="6574.18"/>
    <x v="4"/>
    <n v="2024"/>
    <s v="Q4"/>
    <n v="14.818392877268117"/>
  </r>
  <r>
    <s v="O0031"/>
    <d v="2024-09-27T00:00:00"/>
    <s v="C012"/>
    <x v="0"/>
    <n v="4"/>
    <n v="37576"/>
    <n v="3053.84"/>
    <x v="11"/>
    <n v="2024"/>
    <s v="Q3"/>
    <n v="8.1271024057909322"/>
  </r>
  <r>
    <s v="O0032"/>
    <d v="2024-11-23T00:00:00"/>
    <s v="C041"/>
    <x v="11"/>
    <n v="4"/>
    <n v="102432"/>
    <n v="24390.94"/>
    <x v="4"/>
    <n v="2024"/>
    <s v="Q4"/>
    <n v="23.8118361449547"/>
  </r>
  <r>
    <s v="O0033"/>
    <d v="2024-12-17T00:00:00"/>
    <s v="C094"/>
    <x v="0"/>
    <n v="2"/>
    <n v="18788"/>
    <n v="2502.6999999999998"/>
    <x v="10"/>
    <n v="2024"/>
    <s v="Q4"/>
    <n v="13.32073664040877"/>
  </r>
  <r>
    <s v="O0034"/>
    <d v="2024-11-08T00:00:00"/>
    <s v="C062"/>
    <x v="0"/>
    <n v="4"/>
    <n v="37576"/>
    <n v="5158.5"/>
    <x v="4"/>
    <n v="2024"/>
    <s v="Q4"/>
    <n v="13.728177560144772"/>
  </r>
  <r>
    <s v="O0035"/>
    <d v="2024-02-06T00:00:00"/>
    <s v="C094"/>
    <x v="2"/>
    <n v="2"/>
    <n v="109874"/>
    <n v="9690.18"/>
    <x v="0"/>
    <n v="2024"/>
    <s v="Q1"/>
    <n v="8.8193567176948129"/>
  </r>
  <r>
    <s v="O0036"/>
    <d v="2024-04-14T00:00:00"/>
    <s v="C098"/>
    <x v="11"/>
    <n v="3"/>
    <n v="76824"/>
    <n v="8228.58"/>
    <x v="2"/>
    <n v="2024"/>
    <s v="Q2"/>
    <n v="10.710949703217745"/>
  </r>
  <r>
    <s v="O0037"/>
    <d v="2024-07-09T00:00:00"/>
    <s v="C040"/>
    <x v="16"/>
    <n v="3"/>
    <n v="18660"/>
    <n v="4185.97"/>
    <x v="6"/>
    <n v="2024"/>
    <s v="Q3"/>
    <n v="22.432851018220795"/>
  </r>
  <r>
    <s v="O0038"/>
    <d v="2024-03-04T00:00:00"/>
    <s v="C022"/>
    <x v="15"/>
    <n v="5"/>
    <n v="56175"/>
    <n v="5305.47"/>
    <x v="9"/>
    <n v="2024"/>
    <s v="Q1"/>
    <n v="9.4445393858477971"/>
  </r>
  <r>
    <s v="O0039"/>
    <d v="2024-03-20T00:00:00"/>
    <s v="C078"/>
    <x v="11"/>
    <n v="5"/>
    <n v="128040"/>
    <n v="18453.59"/>
    <x v="9"/>
    <n v="2024"/>
    <s v="Q1"/>
    <n v="14.412363323961261"/>
  </r>
  <r>
    <s v="O0040"/>
    <d v="2024-01-27T00:00:00"/>
    <s v="C033"/>
    <x v="17"/>
    <n v="2"/>
    <n v="108374"/>
    <n v="26019.279999999999"/>
    <x v="8"/>
    <n v="2024"/>
    <s v="Q1"/>
    <n v="24.008784394781035"/>
  </r>
  <r>
    <s v="O0041"/>
    <d v="2024-03-25T00:00:00"/>
    <s v="C064"/>
    <x v="1"/>
    <n v="3"/>
    <n v="26619"/>
    <n v="3867.1"/>
    <x v="9"/>
    <n v="2024"/>
    <s v="Q1"/>
    <n v="14.527593072617304"/>
  </r>
  <r>
    <s v="O0042"/>
    <d v="2024-05-10T00:00:00"/>
    <s v="C070"/>
    <x v="9"/>
    <n v="5"/>
    <n v="55780"/>
    <n v="13766.93"/>
    <x v="1"/>
    <n v="2024"/>
    <s v="Q2"/>
    <n v="24.680763714593045"/>
  </r>
  <r>
    <s v="O0043"/>
    <d v="2024-02-12T00:00:00"/>
    <s v="C081"/>
    <x v="6"/>
    <n v="3"/>
    <n v="75477"/>
    <n v="15493.49"/>
    <x v="0"/>
    <n v="2024"/>
    <s v="Q1"/>
    <n v="20.5274321978881"/>
  </r>
  <r>
    <s v="O0044"/>
    <d v="2024-05-03T00:00:00"/>
    <s v="C018"/>
    <x v="4"/>
    <n v="1"/>
    <n v="11342"/>
    <n v="1765.5"/>
    <x v="1"/>
    <n v="2024"/>
    <s v="Q2"/>
    <n v="15.566037735849056"/>
  </r>
  <r>
    <s v="O0045"/>
    <d v="2024-06-15T00:00:00"/>
    <s v="C049"/>
    <x v="17"/>
    <n v="4"/>
    <n v="216748"/>
    <n v="23410.57"/>
    <x v="3"/>
    <n v="2024"/>
    <s v="Q2"/>
    <n v="10.800823998375995"/>
  </r>
  <r>
    <s v="O0046"/>
    <d v="2024-04-18T00:00:00"/>
    <s v="C057"/>
    <x v="13"/>
    <n v="5"/>
    <n v="279750"/>
    <n v="65604.289999999994"/>
    <x v="2"/>
    <n v="2024"/>
    <s v="Q2"/>
    <n v="23.451042001787307"/>
  </r>
  <r>
    <s v="O0047"/>
    <d v="2024-03-01T00:00:00"/>
    <s v="C016"/>
    <x v="17"/>
    <n v="5"/>
    <n v="270935"/>
    <n v="46272.79"/>
    <x v="9"/>
    <n v="2024"/>
    <s v="Q1"/>
    <n v="17.078926679830957"/>
  </r>
  <r>
    <s v="O0048"/>
    <d v="2024-10-13T00:00:00"/>
    <s v="C085"/>
    <x v="16"/>
    <n v="3"/>
    <n v="18660"/>
    <n v="2280.19"/>
    <x v="7"/>
    <n v="2024"/>
    <s v="Q4"/>
    <n v="12.219667738478028"/>
  </r>
  <r>
    <s v="O0049"/>
    <d v="2024-01-11T00:00:00"/>
    <s v="C001"/>
    <x v="14"/>
    <n v="5"/>
    <n v="35775"/>
    <n v="5530.51"/>
    <x v="8"/>
    <n v="2024"/>
    <s v="Q1"/>
    <n v="15.459147449336131"/>
  </r>
  <r>
    <s v="O0050"/>
    <d v="2024-04-15T00:00:00"/>
    <s v="C004"/>
    <x v="4"/>
    <n v="2"/>
    <n v="22684"/>
    <n v="5036"/>
    <x v="2"/>
    <n v="2024"/>
    <s v="Q2"/>
    <n v="22.20067007582437"/>
  </r>
  <r>
    <s v="O0051"/>
    <d v="2024-05-19T00:00:00"/>
    <s v="C023"/>
    <x v="16"/>
    <n v="2"/>
    <n v="12440"/>
    <n v="2142.14"/>
    <x v="1"/>
    <n v="2024"/>
    <s v="Q2"/>
    <n v="17.219774919614146"/>
  </r>
  <r>
    <s v="O0052"/>
    <d v="2024-08-16T00:00:00"/>
    <s v="C040"/>
    <x v="8"/>
    <n v="3"/>
    <n v="72708"/>
    <n v="16104.85"/>
    <x v="5"/>
    <n v="2024"/>
    <s v="Q3"/>
    <n v="22.150038510205206"/>
  </r>
  <r>
    <s v="O0053"/>
    <d v="2024-03-03T00:00:00"/>
    <s v="C022"/>
    <x v="7"/>
    <n v="3"/>
    <n v="25086"/>
    <n v="4100"/>
    <x v="9"/>
    <n v="2024"/>
    <s v="Q1"/>
    <n v="16.343777405724307"/>
  </r>
  <r>
    <s v="O0054"/>
    <d v="2024-04-14T00:00:00"/>
    <s v="C099"/>
    <x v="14"/>
    <n v="5"/>
    <n v="35775"/>
    <n v="8207.43"/>
    <x v="2"/>
    <n v="2024"/>
    <s v="Q2"/>
    <n v="22.941802935010482"/>
  </r>
  <r>
    <s v="O0055"/>
    <d v="2024-01-07T00:00:00"/>
    <s v="C037"/>
    <x v="6"/>
    <n v="1"/>
    <n v="25159"/>
    <n v="2517.7199999999998"/>
    <x v="8"/>
    <n v="2024"/>
    <s v="Q1"/>
    <n v="10.007233991812074"/>
  </r>
  <r>
    <s v="O0056"/>
    <d v="2024-07-10T00:00:00"/>
    <s v="C070"/>
    <x v="16"/>
    <n v="2"/>
    <n v="12440"/>
    <n v="1154.2"/>
    <x v="6"/>
    <n v="2024"/>
    <s v="Q3"/>
    <n v="9.2781350482315119"/>
  </r>
  <r>
    <s v="O0057"/>
    <d v="2024-07-01T00:00:00"/>
    <s v="C074"/>
    <x v="16"/>
    <n v="4"/>
    <n v="24880"/>
    <n v="4118.03"/>
    <x v="6"/>
    <n v="2024"/>
    <s v="Q3"/>
    <n v="16.551567524115754"/>
  </r>
  <r>
    <s v="O0058"/>
    <d v="2024-08-14T00:00:00"/>
    <s v="C098"/>
    <x v="11"/>
    <n v="3"/>
    <n v="76824"/>
    <n v="6156.95"/>
    <x v="5"/>
    <n v="2024"/>
    <s v="Q3"/>
    <n v="8.0143574924502765"/>
  </r>
  <r>
    <s v="O0059"/>
    <d v="2024-07-23T00:00:00"/>
    <s v="C092"/>
    <x v="15"/>
    <n v="3"/>
    <n v="33705"/>
    <n v="4442.8500000000004"/>
    <x v="6"/>
    <n v="2024"/>
    <s v="Q3"/>
    <n v="13.181575433911883"/>
  </r>
  <r>
    <s v="O0060"/>
    <d v="2024-07-12T00:00:00"/>
    <s v="C044"/>
    <x v="8"/>
    <n v="4"/>
    <n v="96944"/>
    <n v="9619.39"/>
    <x v="6"/>
    <n v="2024"/>
    <s v="Q3"/>
    <n v="9.9226254332398085"/>
  </r>
  <r>
    <s v="O0061"/>
    <d v="2024-05-22T00:00:00"/>
    <s v="C049"/>
    <x v="14"/>
    <n v="5"/>
    <n v="35775"/>
    <n v="2885.57"/>
    <x v="1"/>
    <n v="2024"/>
    <s v="Q2"/>
    <n v="8.065883997204752"/>
  </r>
  <r>
    <s v="O0062"/>
    <d v="2024-08-24T00:00:00"/>
    <s v="C082"/>
    <x v="4"/>
    <n v="5"/>
    <n v="56710"/>
    <n v="6454.14"/>
    <x v="5"/>
    <n v="2024"/>
    <s v="Q3"/>
    <n v="11.380955739728444"/>
  </r>
  <r>
    <s v="O0063"/>
    <d v="2024-12-30T00:00:00"/>
    <s v="C077"/>
    <x v="11"/>
    <n v="4"/>
    <n v="102432"/>
    <n v="24519.25"/>
    <x v="10"/>
    <n v="2024"/>
    <s v="Q4"/>
    <n v="23.937099734457981"/>
  </r>
  <r>
    <s v="O0064"/>
    <d v="2024-09-28T00:00:00"/>
    <s v="C040"/>
    <x v="12"/>
    <n v="4"/>
    <n v="26988"/>
    <n v="5003.7299999999996"/>
    <x v="11"/>
    <n v="2024"/>
    <s v="Q3"/>
    <n v="18.540573588261449"/>
  </r>
  <r>
    <s v="O0065"/>
    <d v="2024-07-18T00:00:00"/>
    <s v="C026"/>
    <x v="10"/>
    <n v="5"/>
    <n v="30125"/>
    <n v="2428.02"/>
    <x v="6"/>
    <n v="2024"/>
    <s v="Q3"/>
    <n v="8.0598174273858909"/>
  </r>
  <r>
    <s v="O0066"/>
    <d v="2024-11-14T00:00:00"/>
    <s v="C075"/>
    <x v="17"/>
    <n v="4"/>
    <n v="216748"/>
    <n v="29720.86"/>
    <x v="4"/>
    <n v="2024"/>
    <s v="Q4"/>
    <n v="13.712172661339435"/>
  </r>
  <r>
    <s v="O0067"/>
    <d v="2024-05-06T00:00:00"/>
    <s v="C075"/>
    <x v="5"/>
    <n v="4"/>
    <n v="34504"/>
    <n v="8553.4599999999991"/>
    <x v="1"/>
    <n v="2024"/>
    <s v="Q2"/>
    <n v="24.789763505680497"/>
  </r>
  <r>
    <s v="O0068"/>
    <d v="2024-11-18T00:00:00"/>
    <s v="C082"/>
    <x v="16"/>
    <n v="1"/>
    <n v="6220"/>
    <n v="927.96"/>
    <x v="4"/>
    <n v="2024"/>
    <s v="Q4"/>
    <n v="14.918971061093247"/>
  </r>
  <r>
    <s v="O0069"/>
    <d v="2024-02-07T00:00:00"/>
    <s v="C020"/>
    <x v="1"/>
    <n v="3"/>
    <n v="26619"/>
    <n v="5959.08"/>
    <x v="0"/>
    <n v="2024"/>
    <s v="Q1"/>
    <n v="22.386565986701228"/>
  </r>
  <r>
    <s v="O0070"/>
    <d v="2024-05-15T00:00:00"/>
    <s v="C100"/>
    <x v="4"/>
    <n v="1"/>
    <n v="11342"/>
    <n v="1581.15"/>
    <x v="1"/>
    <n v="2024"/>
    <s v="Q2"/>
    <n v="13.94066302239464"/>
  </r>
  <r>
    <s v="O0071"/>
    <d v="2024-08-24T00:00:00"/>
    <s v="C091"/>
    <x v="17"/>
    <n v="5"/>
    <n v="270935"/>
    <n v="35661.47"/>
    <x v="5"/>
    <n v="2024"/>
    <s v="Q3"/>
    <n v="13.162371048406445"/>
  </r>
  <r>
    <s v="O0072"/>
    <d v="2024-01-24T00:00:00"/>
    <s v="C034"/>
    <x v="18"/>
    <n v="2"/>
    <n v="108768"/>
    <n v="17338.43"/>
    <x v="8"/>
    <n v="2024"/>
    <s v="Q1"/>
    <n v="15.940745439835247"/>
  </r>
  <r>
    <s v="O0073"/>
    <d v="2024-08-04T00:00:00"/>
    <s v="C035"/>
    <x v="11"/>
    <n v="1"/>
    <n v="25608"/>
    <n v="5290.79"/>
    <x v="5"/>
    <n v="2024"/>
    <s v="Q3"/>
    <n v="20.660691971258981"/>
  </r>
  <r>
    <s v="O0074"/>
    <d v="2024-01-11T00:00:00"/>
    <s v="C009"/>
    <x v="10"/>
    <n v="1"/>
    <n v="6025"/>
    <n v="1154.77"/>
    <x v="8"/>
    <n v="2024"/>
    <s v="Q1"/>
    <n v="19.166307053941907"/>
  </r>
  <r>
    <s v="O0075"/>
    <d v="2024-07-24T00:00:00"/>
    <s v="C022"/>
    <x v="11"/>
    <n v="2"/>
    <n v="51216"/>
    <n v="10108.81"/>
    <x v="6"/>
    <n v="2024"/>
    <s v="Q3"/>
    <n v="19.737601530771634"/>
  </r>
  <r>
    <s v="O0076"/>
    <d v="2024-09-27T00:00:00"/>
    <s v="C082"/>
    <x v="2"/>
    <n v="5"/>
    <n v="274685"/>
    <n v="36189.35"/>
    <x v="11"/>
    <n v="2024"/>
    <s v="Q3"/>
    <n v="13.174854833718621"/>
  </r>
  <r>
    <s v="O0077"/>
    <d v="2024-02-08T00:00:00"/>
    <s v="C027"/>
    <x v="0"/>
    <n v="3"/>
    <n v="28182"/>
    <n v="3543.65"/>
    <x v="0"/>
    <n v="2024"/>
    <s v="Q1"/>
    <n v="12.574160811865731"/>
  </r>
  <r>
    <s v="O0078"/>
    <d v="2024-10-12T00:00:00"/>
    <s v="C090"/>
    <x v="11"/>
    <n v="3"/>
    <n v="76824"/>
    <n v="12257.21"/>
    <x v="7"/>
    <n v="2024"/>
    <s v="Q4"/>
    <n v="15.954922940747682"/>
  </r>
  <r>
    <s v="O0079"/>
    <d v="2024-10-11T00:00:00"/>
    <s v="C095"/>
    <x v="9"/>
    <n v="2"/>
    <n v="22312"/>
    <n v="2911.02"/>
    <x v="7"/>
    <n v="2024"/>
    <s v="Q4"/>
    <n v="13.046880602366439"/>
  </r>
  <r>
    <s v="O0080"/>
    <d v="2024-07-19T00:00:00"/>
    <s v="C035"/>
    <x v="10"/>
    <n v="5"/>
    <n v="30125"/>
    <n v="6198.93"/>
    <x v="6"/>
    <n v="2024"/>
    <s v="Q3"/>
    <n v="20.577360995850626"/>
  </r>
  <r>
    <s v="O0081"/>
    <d v="2024-05-12T00:00:00"/>
    <s v="C072"/>
    <x v="1"/>
    <n v="2"/>
    <n v="17746"/>
    <n v="2878.69"/>
    <x v="1"/>
    <n v="2024"/>
    <s v="Q2"/>
    <n v="16.221627408993577"/>
  </r>
  <r>
    <s v="O0082"/>
    <d v="2024-11-08T00:00:00"/>
    <s v="C079"/>
    <x v="3"/>
    <n v="2"/>
    <n v="111390"/>
    <n v="13811.3"/>
    <x v="4"/>
    <n v="2024"/>
    <s v="Q4"/>
    <n v="12.399048388544752"/>
  </r>
  <r>
    <s v="O0083"/>
    <d v="2024-11-14T00:00:00"/>
    <s v="C091"/>
    <x v="0"/>
    <n v="1"/>
    <n v="9394"/>
    <n v="2111.7800000000002"/>
    <x v="4"/>
    <n v="2024"/>
    <s v="Q4"/>
    <n v="22.480093676814992"/>
  </r>
  <r>
    <s v="O0084"/>
    <d v="2024-05-07T00:00:00"/>
    <s v="C052"/>
    <x v="3"/>
    <n v="4"/>
    <n v="222780"/>
    <n v="53162.23"/>
    <x v="1"/>
    <n v="2024"/>
    <s v="Q2"/>
    <n v="23.863107101176052"/>
  </r>
  <r>
    <s v="O0085"/>
    <d v="2024-03-25T00:00:00"/>
    <s v="C035"/>
    <x v="14"/>
    <n v="1"/>
    <n v="7155"/>
    <n v="1333.7"/>
    <x v="9"/>
    <n v="2024"/>
    <s v="Q1"/>
    <n v="18.640111809923134"/>
  </r>
  <r>
    <s v="O0086"/>
    <d v="2024-03-16T00:00:00"/>
    <s v="C075"/>
    <x v="15"/>
    <n v="5"/>
    <n v="56175"/>
    <n v="13214.31"/>
    <x v="9"/>
    <n v="2024"/>
    <s v="Q1"/>
    <n v="23.52347129506008"/>
  </r>
  <r>
    <s v="O0087"/>
    <d v="2024-03-11T00:00:00"/>
    <s v="C078"/>
    <x v="2"/>
    <n v="4"/>
    <n v="219748"/>
    <n v="37251.83"/>
    <x v="9"/>
    <n v="2024"/>
    <s v="Q1"/>
    <n v="16.952067823142876"/>
  </r>
  <r>
    <s v="O0088"/>
    <d v="2024-07-24T00:00:00"/>
    <s v="C100"/>
    <x v="13"/>
    <n v="4"/>
    <n v="223800"/>
    <n v="31642.02"/>
    <x v="6"/>
    <n v="2024"/>
    <s v="Q3"/>
    <n v="14.138525469168901"/>
  </r>
  <r>
    <s v="O0089"/>
    <d v="2024-06-05T00:00:00"/>
    <s v="C031"/>
    <x v="6"/>
    <n v="2"/>
    <n v="50318"/>
    <n v="10171.33"/>
    <x v="3"/>
    <n v="2024"/>
    <s v="Q2"/>
    <n v="20.214098334591995"/>
  </r>
  <r>
    <s v="O0090"/>
    <d v="2024-09-09T00:00:00"/>
    <s v="C009"/>
    <x v="6"/>
    <n v="2"/>
    <n v="50318"/>
    <n v="7421.47"/>
    <x v="11"/>
    <n v="2024"/>
    <s v="Q3"/>
    <n v="14.749135498231251"/>
  </r>
  <r>
    <s v="O0091"/>
    <d v="2024-11-01T00:00:00"/>
    <s v="C013"/>
    <x v="12"/>
    <n v="1"/>
    <n v="6747"/>
    <n v="603.24"/>
    <x v="4"/>
    <n v="2024"/>
    <s v="Q4"/>
    <n v="8.94086260560249"/>
  </r>
  <r>
    <s v="O0092"/>
    <d v="2024-09-27T00:00:00"/>
    <s v="C003"/>
    <x v="14"/>
    <n v="1"/>
    <n v="7155"/>
    <n v="1173.8399999999999"/>
    <x v="11"/>
    <n v="2024"/>
    <s v="Q3"/>
    <n v="16.405870020964358"/>
  </r>
  <r>
    <s v="O0093"/>
    <d v="2024-05-20T00:00:00"/>
    <s v="C093"/>
    <x v="4"/>
    <n v="4"/>
    <n v="45368"/>
    <n v="6270.55"/>
    <x v="1"/>
    <n v="2024"/>
    <s v="Q2"/>
    <n v="13.821526185857874"/>
  </r>
  <r>
    <s v="O0094"/>
    <d v="2024-07-23T00:00:00"/>
    <s v="C016"/>
    <x v="4"/>
    <n v="2"/>
    <n v="22684"/>
    <n v="2181.96"/>
    <x v="6"/>
    <n v="2024"/>
    <s v="Q3"/>
    <n v="9.6189384588256051"/>
  </r>
  <r>
    <s v="O0095"/>
    <d v="2024-03-27T00:00:00"/>
    <s v="C030"/>
    <x v="18"/>
    <n v="4"/>
    <n v="217536"/>
    <n v="31377.83"/>
    <x v="9"/>
    <n v="2024"/>
    <s v="Q1"/>
    <n v="14.424201051779937"/>
  </r>
  <r>
    <s v="O0096"/>
    <d v="2024-10-23T00:00:00"/>
    <s v="C030"/>
    <x v="0"/>
    <n v="3"/>
    <n v="28182"/>
    <n v="4470.7299999999996"/>
    <x v="7"/>
    <n v="2024"/>
    <s v="Q4"/>
    <n v="15.863778298204526"/>
  </r>
  <r>
    <s v="O0097"/>
    <d v="2024-06-18T00:00:00"/>
    <s v="C050"/>
    <x v="14"/>
    <n v="4"/>
    <n v="28620"/>
    <n v="5768.05"/>
    <x v="3"/>
    <n v="2024"/>
    <s v="Q2"/>
    <n v="20.153913347309572"/>
  </r>
  <r>
    <s v="O0098"/>
    <d v="2024-02-10T00:00:00"/>
    <s v="C064"/>
    <x v="8"/>
    <n v="1"/>
    <n v="24236"/>
    <n v="5686.08"/>
    <x v="0"/>
    <n v="2024"/>
    <s v="Q1"/>
    <n v="23.4612972437696"/>
  </r>
  <r>
    <s v="O0099"/>
    <d v="2024-06-12T00:00:00"/>
    <s v="C006"/>
    <x v="19"/>
    <n v="1"/>
    <n v="9101"/>
    <n v="2054.91"/>
    <x v="3"/>
    <n v="2024"/>
    <s v="Q2"/>
    <n v="22.578947368421051"/>
  </r>
  <r>
    <s v="O0100"/>
    <d v="2024-07-23T00:00:00"/>
    <s v="C050"/>
    <x v="8"/>
    <n v="3"/>
    <n v="72708"/>
    <n v="17173.84"/>
    <x v="6"/>
    <n v="2024"/>
    <s v="Q3"/>
    <n v="23.620289376684823"/>
  </r>
  <r>
    <s v="O0101"/>
    <d v="2024-03-15T00:00:00"/>
    <s v="C021"/>
    <x v="13"/>
    <n v="1"/>
    <n v="55950"/>
    <n v="4620.3900000000003"/>
    <x v="9"/>
    <n v="2024"/>
    <s v="Q1"/>
    <n v="8.2580697050938348"/>
  </r>
  <r>
    <s v="O0102"/>
    <d v="2024-05-10T00:00:00"/>
    <s v="C086"/>
    <x v="7"/>
    <n v="1"/>
    <n v="8362"/>
    <n v="1471.77"/>
    <x v="1"/>
    <n v="2024"/>
    <s v="Q2"/>
    <n v="17.600693613967948"/>
  </r>
  <r>
    <s v="O0103"/>
    <d v="2024-06-04T00:00:00"/>
    <s v="C017"/>
    <x v="5"/>
    <n v="4"/>
    <n v="34504"/>
    <n v="6585.65"/>
    <x v="3"/>
    <n v="2024"/>
    <s v="Q2"/>
    <n v="19.086627637375376"/>
  </r>
  <r>
    <s v="O0104"/>
    <d v="2024-03-07T00:00:00"/>
    <s v="C002"/>
    <x v="9"/>
    <n v="5"/>
    <n v="55780"/>
    <n v="5039.43"/>
    <x v="9"/>
    <n v="2024"/>
    <s v="Q1"/>
    <n v="9.0344747221226243"/>
  </r>
  <r>
    <s v="O0105"/>
    <d v="2024-04-07T00:00:00"/>
    <s v="C006"/>
    <x v="2"/>
    <n v="1"/>
    <n v="54937"/>
    <n v="8434.2999999999993"/>
    <x v="2"/>
    <n v="2024"/>
    <s v="Q2"/>
    <n v="15.352676702404572"/>
  </r>
  <r>
    <s v="O0106"/>
    <d v="2024-12-17T00:00:00"/>
    <s v="C004"/>
    <x v="18"/>
    <n v="2"/>
    <n v="108768"/>
    <n v="22469.77"/>
    <x v="10"/>
    <n v="2024"/>
    <s v="Q4"/>
    <n v="20.65843814357164"/>
  </r>
  <r>
    <s v="O0107"/>
    <d v="2024-05-17T00:00:00"/>
    <s v="C025"/>
    <x v="15"/>
    <n v="4"/>
    <n v="44940"/>
    <n v="6114.84"/>
    <x v="1"/>
    <n v="2024"/>
    <s v="Q2"/>
    <n v="13.606675567423231"/>
  </r>
  <r>
    <s v="O0108"/>
    <d v="2024-10-29T00:00:00"/>
    <s v="C034"/>
    <x v="0"/>
    <n v="2"/>
    <n v="18788"/>
    <n v="1695.27"/>
    <x v="7"/>
    <n v="2024"/>
    <s v="Q4"/>
    <n v="9.0231530764317647"/>
  </r>
  <r>
    <s v="O0109"/>
    <d v="2024-10-13T00:00:00"/>
    <s v="C023"/>
    <x v="10"/>
    <n v="4"/>
    <n v="24100"/>
    <n v="4408.13"/>
    <x v="7"/>
    <n v="2024"/>
    <s v="Q4"/>
    <n v="18.290995850622409"/>
  </r>
  <r>
    <s v="O0110"/>
    <d v="2024-10-07T00:00:00"/>
    <s v="C082"/>
    <x v="11"/>
    <n v="1"/>
    <n v="25608"/>
    <n v="5988.64"/>
    <x v="7"/>
    <n v="2024"/>
    <s v="Q4"/>
    <n v="23.385816932208687"/>
  </r>
  <r>
    <s v="O0111"/>
    <d v="2024-10-01T00:00:00"/>
    <s v="C053"/>
    <x v="7"/>
    <n v="2"/>
    <n v="16724"/>
    <n v="3361.19"/>
    <x v="7"/>
    <n v="2024"/>
    <s v="Q4"/>
    <n v="20.098002870126763"/>
  </r>
  <r>
    <s v="O0112"/>
    <d v="2024-02-07T00:00:00"/>
    <s v="C055"/>
    <x v="5"/>
    <n v="3"/>
    <n v="25878"/>
    <n v="5340.14"/>
    <x v="0"/>
    <n v="2024"/>
    <s v="Q1"/>
    <n v="20.635829662261383"/>
  </r>
  <r>
    <s v="O0113"/>
    <d v="2024-04-14T00:00:00"/>
    <s v="C033"/>
    <x v="12"/>
    <n v="1"/>
    <n v="6747"/>
    <n v="712.97"/>
    <x v="2"/>
    <n v="2024"/>
    <s v="Q2"/>
    <n v="10.567215058544539"/>
  </r>
  <r>
    <s v="O0114"/>
    <d v="2024-09-19T00:00:00"/>
    <s v="C055"/>
    <x v="9"/>
    <n v="1"/>
    <n v="11156"/>
    <n v="2100.8000000000002"/>
    <x v="11"/>
    <n v="2024"/>
    <s v="Q3"/>
    <n v="18.831122266045181"/>
  </r>
  <r>
    <s v="O0115"/>
    <d v="2024-06-09T00:00:00"/>
    <s v="C061"/>
    <x v="11"/>
    <n v="3"/>
    <n v="76824"/>
    <n v="7442.55"/>
    <x v="3"/>
    <n v="2024"/>
    <s v="Q2"/>
    <n v="9.687792877225867"/>
  </r>
  <r>
    <s v="O0116"/>
    <d v="2024-12-06T00:00:00"/>
    <s v="C006"/>
    <x v="13"/>
    <n v="5"/>
    <n v="279750"/>
    <n v="23958.25"/>
    <x v="10"/>
    <n v="2024"/>
    <s v="Q4"/>
    <n v="8.5641644325290436"/>
  </r>
  <r>
    <s v="O0117"/>
    <d v="2024-09-25T00:00:00"/>
    <s v="C017"/>
    <x v="1"/>
    <n v="4"/>
    <n v="35492"/>
    <n v="2987.91"/>
    <x v="11"/>
    <n v="2024"/>
    <s v="Q3"/>
    <n v="8.4185450242308129"/>
  </r>
  <r>
    <s v="O0118"/>
    <d v="2024-02-13T00:00:00"/>
    <s v="C035"/>
    <x v="5"/>
    <n v="3"/>
    <n v="25878"/>
    <n v="5591.38"/>
    <x v="0"/>
    <n v="2024"/>
    <s v="Q1"/>
    <n v="21.606692943813279"/>
  </r>
  <r>
    <s v="O0119"/>
    <d v="2024-05-13T00:00:00"/>
    <s v="C039"/>
    <x v="9"/>
    <n v="4"/>
    <n v="44624"/>
    <n v="4011.15"/>
    <x v="1"/>
    <n v="2024"/>
    <s v="Q2"/>
    <n v="8.9887728576550732"/>
  </r>
  <r>
    <s v="O0120"/>
    <d v="2024-02-29T00:00:00"/>
    <s v="C041"/>
    <x v="13"/>
    <n v="3"/>
    <n v="167850"/>
    <n v="36100.720000000001"/>
    <x v="0"/>
    <n v="2024"/>
    <s v="Q1"/>
    <n v="21.507727137324995"/>
  </r>
  <r>
    <s v="O0121"/>
    <d v="2024-05-05T00:00:00"/>
    <s v="C087"/>
    <x v="16"/>
    <n v="1"/>
    <n v="6220"/>
    <n v="946.82"/>
    <x v="1"/>
    <n v="2024"/>
    <s v="Q2"/>
    <n v="15.222186495176851"/>
  </r>
  <r>
    <s v="O0122"/>
    <d v="2024-06-22T00:00:00"/>
    <s v="C065"/>
    <x v="7"/>
    <n v="2"/>
    <n v="16724"/>
    <n v="2276.44"/>
    <x v="3"/>
    <n v="2024"/>
    <s v="Q2"/>
    <n v="13.611815355178186"/>
  </r>
  <r>
    <s v="O0123"/>
    <d v="2024-03-07T00:00:00"/>
    <s v="C066"/>
    <x v="1"/>
    <n v="5"/>
    <n v="44365"/>
    <n v="7178.08"/>
    <x v="9"/>
    <n v="2024"/>
    <s v="Q1"/>
    <n v="16.179601036853374"/>
  </r>
  <r>
    <s v="O0124"/>
    <d v="2024-10-24T00:00:00"/>
    <s v="C084"/>
    <x v="15"/>
    <n v="5"/>
    <n v="56175"/>
    <n v="13929.44"/>
    <x v="7"/>
    <n v="2024"/>
    <s v="Q4"/>
    <n v="24.796510903426793"/>
  </r>
  <r>
    <s v="O0125"/>
    <d v="2024-05-29T00:00:00"/>
    <s v="C090"/>
    <x v="11"/>
    <n v="5"/>
    <n v="128040"/>
    <n v="10902.05"/>
    <x v="1"/>
    <n v="2024"/>
    <s v="Q2"/>
    <n v="8.5145657606997815"/>
  </r>
  <r>
    <s v="O0126"/>
    <d v="2024-09-23T00:00:00"/>
    <s v="C096"/>
    <x v="12"/>
    <n v="2"/>
    <n v="13494"/>
    <n v="1929.1"/>
    <x v="11"/>
    <n v="2024"/>
    <s v="Q3"/>
    <n v="14.295983400029641"/>
  </r>
  <r>
    <s v="O0127"/>
    <d v="2024-10-21T00:00:00"/>
    <s v="C042"/>
    <x v="6"/>
    <n v="4"/>
    <n v="100636"/>
    <n v="13959.67"/>
    <x v="7"/>
    <n v="2024"/>
    <s v="Q4"/>
    <n v="13.871447593306572"/>
  </r>
  <r>
    <s v="O0128"/>
    <d v="2024-11-29T00:00:00"/>
    <s v="C009"/>
    <x v="9"/>
    <n v="3"/>
    <n v="33468"/>
    <n v="7314.14"/>
    <x v="4"/>
    <n v="2024"/>
    <s v="Q4"/>
    <n v="21.854129317557071"/>
  </r>
  <r>
    <s v="O0129"/>
    <d v="2024-06-29T00:00:00"/>
    <s v="C069"/>
    <x v="3"/>
    <n v="4"/>
    <n v="222780"/>
    <n v="29120.59"/>
    <x v="3"/>
    <n v="2024"/>
    <s v="Q2"/>
    <n v="13.07145614507586"/>
  </r>
  <r>
    <s v="O0130"/>
    <d v="2024-09-26T00:00:00"/>
    <s v="C035"/>
    <x v="3"/>
    <n v="5"/>
    <n v="278475"/>
    <n v="45998.41"/>
    <x v="11"/>
    <n v="2024"/>
    <s v="Q3"/>
    <n v="16.517967501571057"/>
  </r>
  <r>
    <s v="O0131"/>
    <d v="2024-06-15T00:00:00"/>
    <s v="C016"/>
    <x v="13"/>
    <n v="3"/>
    <n v="167850"/>
    <n v="39520.46"/>
    <x v="3"/>
    <n v="2024"/>
    <s v="Q2"/>
    <n v="23.545105749180816"/>
  </r>
  <r>
    <s v="O0132"/>
    <d v="2024-05-23T00:00:00"/>
    <s v="C042"/>
    <x v="8"/>
    <n v="1"/>
    <n v="24236"/>
    <n v="3800.41"/>
    <x v="1"/>
    <n v="2024"/>
    <s v="Q2"/>
    <n v="15.680846674368706"/>
  </r>
  <r>
    <s v="O0133"/>
    <d v="2024-07-13T00:00:00"/>
    <s v="C062"/>
    <x v="15"/>
    <n v="3"/>
    <n v="33705"/>
    <n v="8011.51"/>
    <x v="6"/>
    <n v="2024"/>
    <s v="Q3"/>
    <n v="23.769500074172971"/>
  </r>
  <r>
    <s v="O0134"/>
    <d v="2024-09-25T00:00:00"/>
    <s v="C011"/>
    <x v="8"/>
    <n v="1"/>
    <n v="24236"/>
    <n v="2493.37"/>
    <x v="11"/>
    <n v="2024"/>
    <s v="Q3"/>
    <n v="10.287877537547448"/>
  </r>
  <r>
    <s v="O0135"/>
    <d v="2024-12-25T00:00:00"/>
    <s v="C063"/>
    <x v="8"/>
    <n v="3"/>
    <n v="72708"/>
    <n v="15506.53"/>
    <x v="10"/>
    <n v="2024"/>
    <s v="Q4"/>
    <n v="21.327130439566485"/>
  </r>
  <r>
    <s v="O0136"/>
    <d v="2024-11-25T00:00:00"/>
    <s v="C074"/>
    <x v="3"/>
    <n v="3"/>
    <n v="167085"/>
    <n v="41504.370000000003"/>
    <x v="4"/>
    <n v="2024"/>
    <s v="Q4"/>
    <n v="24.840272914983395"/>
  </r>
  <r>
    <s v="O0137"/>
    <d v="2024-06-23T00:00:00"/>
    <s v="C048"/>
    <x v="1"/>
    <n v="3"/>
    <n v="26619"/>
    <n v="4231.8100000000004"/>
    <x v="3"/>
    <n v="2024"/>
    <s v="Q2"/>
    <n v="15.897704647056615"/>
  </r>
  <r>
    <s v="O0138"/>
    <d v="2024-05-08T00:00:00"/>
    <s v="C069"/>
    <x v="11"/>
    <n v="2"/>
    <n v="51216"/>
    <n v="4350.3999999999996"/>
    <x v="1"/>
    <n v="2024"/>
    <s v="Q2"/>
    <n v="8.4942205560762254"/>
  </r>
  <r>
    <s v="O0139"/>
    <d v="2024-02-27T00:00:00"/>
    <s v="C088"/>
    <x v="0"/>
    <n v="5"/>
    <n v="46970"/>
    <n v="4822.8500000000004"/>
    <x v="0"/>
    <n v="2024"/>
    <s v="Q1"/>
    <n v="10.267936981051735"/>
  </r>
  <r>
    <s v="O0140"/>
    <d v="2024-02-20T00:00:00"/>
    <s v="C024"/>
    <x v="17"/>
    <n v="5"/>
    <n v="270935"/>
    <n v="23982.59"/>
    <x v="0"/>
    <n v="2024"/>
    <s v="Q1"/>
    <n v="8.851787329064166"/>
  </r>
  <r>
    <s v="O0141"/>
    <d v="2024-02-04T00:00:00"/>
    <s v="C070"/>
    <x v="2"/>
    <n v="1"/>
    <n v="54937"/>
    <n v="6303.39"/>
    <x v="0"/>
    <n v="2024"/>
    <s v="Q1"/>
    <n v="11.473851866683656"/>
  </r>
  <r>
    <s v="O0142"/>
    <d v="2024-02-07T00:00:00"/>
    <s v="C081"/>
    <x v="8"/>
    <n v="5"/>
    <n v="121180"/>
    <n v="22900.05"/>
    <x v="0"/>
    <n v="2024"/>
    <s v="Q1"/>
    <n v="18.897549100511636"/>
  </r>
  <r>
    <s v="O0143"/>
    <d v="2024-01-12T00:00:00"/>
    <s v="C028"/>
    <x v="12"/>
    <n v="5"/>
    <n v="33735"/>
    <n v="7641.38"/>
    <x v="8"/>
    <n v="2024"/>
    <s v="Q1"/>
    <n v="22.651193122869422"/>
  </r>
  <r>
    <s v="O0144"/>
    <d v="2024-05-25T00:00:00"/>
    <s v="C076"/>
    <x v="10"/>
    <n v="4"/>
    <n v="24100"/>
    <n v="4838.01"/>
    <x v="1"/>
    <n v="2024"/>
    <s v="Q2"/>
    <n v="20.074730290456433"/>
  </r>
  <r>
    <s v="O0145"/>
    <d v="2024-04-30T00:00:00"/>
    <s v="C029"/>
    <x v="14"/>
    <n v="5"/>
    <n v="35775"/>
    <n v="5864.05"/>
    <x v="2"/>
    <n v="2024"/>
    <s v="Q2"/>
    <n v="16.391474493361287"/>
  </r>
  <r>
    <s v="O0146"/>
    <d v="2024-04-06T00:00:00"/>
    <s v="C055"/>
    <x v="15"/>
    <n v="3"/>
    <n v="33705"/>
    <n v="5816.17"/>
    <x v="2"/>
    <n v="2024"/>
    <s v="Q2"/>
    <n v="17.256104435543687"/>
  </r>
  <r>
    <s v="O0147"/>
    <d v="2024-01-05T00:00:00"/>
    <s v="C062"/>
    <x v="5"/>
    <n v="3"/>
    <n v="25878"/>
    <n v="3862.1"/>
    <x v="8"/>
    <n v="2024"/>
    <s v="Q1"/>
    <n v="14.924259989179998"/>
  </r>
  <r>
    <s v="O0148"/>
    <d v="2024-09-06T00:00:00"/>
    <s v="C096"/>
    <x v="7"/>
    <n v="4"/>
    <n v="33448"/>
    <n v="5600.14"/>
    <x v="11"/>
    <n v="2024"/>
    <s v="Q3"/>
    <n v="16.74282468309017"/>
  </r>
  <r>
    <s v="O0149"/>
    <d v="2024-10-23T00:00:00"/>
    <s v="C010"/>
    <x v="1"/>
    <n v="5"/>
    <n v="44365"/>
    <n v="10206.540000000001"/>
    <x v="7"/>
    <n v="2024"/>
    <s v="Q4"/>
    <n v="23.005837935309366"/>
  </r>
  <r>
    <s v="O0150"/>
    <d v="2024-08-22T00:00:00"/>
    <s v="C075"/>
    <x v="17"/>
    <n v="1"/>
    <n v="54187"/>
    <n v="7575.91"/>
    <x v="5"/>
    <n v="2024"/>
    <s v="Q3"/>
    <n v="13.981047114621589"/>
  </r>
  <r>
    <s v="O0151"/>
    <d v="2024-11-24T00:00:00"/>
    <s v="C001"/>
    <x v="14"/>
    <n v="3"/>
    <n v="21465"/>
    <n v="4256.92"/>
    <x v="4"/>
    <n v="2024"/>
    <s v="Q4"/>
    <n v="19.831912415560215"/>
  </r>
  <r>
    <s v="O0152"/>
    <d v="2024-09-19T00:00:00"/>
    <s v="C001"/>
    <x v="7"/>
    <n v="1"/>
    <n v="8362"/>
    <n v="1837.27"/>
    <x v="11"/>
    <n v="2024"/>
    <s v="Q3"/>
    <n v="21.97165749820617"/>
  </r>
  <r>
    <s v="O0153"/>
    <d v="2024-10-09T00:00:00"/>
    <s v="C096"/>
    <x v="3"/>
    <n v="5"/>
    <n v="278475"/>
    <n v="52815.05"/>
    <x v="7"/>
    <n v="2024"/>
    <s v="Q4"/>
    <n v="18.965813807343569"/>
  </r>
  <r>
    <s v="O0154"/>
    <d v="2024-09-22T00:00:00"/>
    <s v="C037"/>
    <x v="11"/>
    <n v="4"/>
    <n v="102432"/>
    <n v="17633.349999999999"/>
    <x v="11"/>
    <n v="2024"/>
    <s v="Q3"/>
    <n v="17.214688769134646"/>
  </r>
  <r>
    <s v="O0155"/>
    <d v="2024-06-03T00:00:00"/>
    <s v="C053"/>
    <x v="4"/>
    <n v="5"/>
    <n v="56710"/>
    <n v="7503.82"/>
    <x v="3"/>
    <n v="2024"/>
    <s v="Q2"/>
    <n v="13.231916769529183"/>
  </r>
  <r>
    <s v="O0156"/>
    <d v="2024-10-08T00:00:00"/>
    <s v="C017"/>
    <x v="11"/>
    <n v="4"/>
    <n v="102432"/>
    <n v="18403.5"/>
    <x v="7"/>
    <n v="2024"/>
    <s v="Q4"/>
    <n v="17.966553420805997"/>
  </r>
  <r>
    <s v="O0157"/>
    <d v="2024-08-05T00:00:00"/>
    <s v="C099"/>
    <x v="12"/>
    <n v="3"/>
    <n v="20241"/>
    <n v="3810.02"/>
    <x v="5"/>
    <n v="2024"/>
    <s v="Q3"/>
    <n v="18.82327948223902"/>
  </r>
  <r>
    <s v="O0158"/>
    <d v="2024-07-24T00:00:00"/>
    <s v="C095"/>
    <x v="8"/>
    <n v="1"/>
    <n v="24236"/>
    <n v="3456.58"/>
    <x v="6"/>
    <n v="2024"/>
    <s v="Q3"/>
    <n v="14.262171975573526"/>
  </r>
  <r>
    <s v="O0159"/>
    <d v="2024-01-03T00:00:00"/>
    <s v="C037"/>
    <x v="19"/>
    <n v="1"/>
    <n v="9101"/>
    <n v="2159.4699999999998"/>
    <x v="8"/>
    <n v="2024"/>
    <s v="Q1"/>
    <n v="23.727832106361937"/>
  </r>
  <r>
    <s v="O0160"/>
    <d v="2024-07-09T00:00:00"/>
    <s v="C050"/>
    <x v="2"/>
    <n v="4"/>
    <n v="219748"/>
    <n v="27739.4"/>
    <x v="6"/>
    <n v="2024"/>
    <s v="Q3"/>
    <n v="12.623277572492128"/>
  </r>
  <r>
    <s v="O0161"/>
    <d v="2024-02-29T00:00:00"/>
    <s v="C082"/>
    <x v="18"/>
    <n v="3"/>
    <n v="163152"/>
    <n v="23826.39"/>
    <x v="0"/>
    <n v="2024"/>
    <s v="Q1"/>
    <n v="14.603798911444542"/>
  </r>
  <r>
    <s v="O0162"/>
    <d v="2024-01-10T00:00:00"/>
    <s v="C062"/>
    <x v="10"/>
    <n v="2"/>
    <n v="12050"/>
    <n v="1814.53"/>
    <x v="8"/>
    <n v="2024"/>
    <s v="Q1"/>
    <n v="15.058340248962656"/>
  </r>
  <r>
    <s v="O0163"/>
    <d v="2024-10-28T00:00:00"/>
    <s v="C023"/>
    <x v="2"/>
    <n v="3"/>
    <n v="164811"/>
    <n v="37220.959999999999"/>
    <x v="7"/>
    <n v="2024"/>
    <s v="Q4"/>
    <n v="22.584026551625801"/>
  </r>
  <r>
    <s v="O0164"/>
    <d v="2024-05-27T00:00:00"/>
    <s v="C037"/>
    <x v="17"/>
    <n v="3"/>
    <n v="162561"/>
    <n v="38956"/>
    <x v="1"/>
    <n v="2024"/>
    <s v="Q2"/>
    <n v="23.963927387257705"/>
  </r>
  <r>
    <s v="O0165"/>
    <d v="2024-09-05T00:00:00"/>
    <s v="C095"/>
    <x v="17"/>
    <n v="3"/>
    <n v="162561"/>
    <n v="24984.89"/>
    <x v="11"/>
    <n v="2024"/>
    <s v="Q3"/>
    <n v="15.369547431425742"/>
  </r>
  <r>
    <s v="O0166"/>
    <d v="2024-02-16T00:00:00"/>
    <s v="C028"/>
    <x v="18"/>
    <n v="4"/>
    <n v="217536"/>
    <n v="43888.02"/>
    <x v="0"/>
    <n v="2024"/>
    <s v="Q1"/>
    <n v="20.175060679611647"/>
  </r>
  <r>
    <s v="O0167"/>
    <d v="2024-04-27T00:00:00"/>
    <s v="C009"/>
    <x v="13"/>
    <n v="2"/>
    <n v="111900"/>
    <n v="27338.01"/>
    <x v="2"/>
    <n v="2024"/>
    <s v="Q2"/>
    <n v="24.430750670241284"/>
  </r>
  <r>
    <s v="O0168"/>
    <d v="2024-09-02T00:00:00"/>
    <s v="C094"/>
    <x v="19"/>
    <n v="1"/>
    <n v="9101"/>
    <n v="1119.8599999999999"/>
    <x v="11"/>
    <n v="2024"/>
    <s v="Q3"/>
    <n v="12.304801670146137"/>
  </r>
  <r>
    <s v="O0169"/>
    <d v="2024-04-05T00:00:00"/>
    <s v="C100"/>
    <x v="6"/>
    <n v="4"/>
    <n v="100636"/>
    <n v="19165.349999999999"/>
    <x v="2"/>
    <n v="2024"/>
    <s v="Q2"/>
    <n v="19.04422870543344"/>
  </r>
  <r>
    <s v="O0170"/>
    <d v="2024-01-27T00:00:00"/>
    <s v="C001"/>
    <x v="5"/>
    <n v="4"/>
    <n v="34504"/>
    <n v="6349.48"/>
    <x v="8"/>
    <n v="2024"/>
    <s v="Q1"/>
    <n v="18.402156271736608"/>
  </r>
  <r>
    <s v="O0171"/>
    <d v="2024-01-25T00:00:00"/>
    <s v="C071"/>
    <x v="14"/>
    <n v="5"/>
    <n v="35775"/>
    <n v="5427.76"/>
    <x v="8"/>
    <n v="2024"/>
    <s v="Q1"/>
    <n v="15.171935709294202"/>
  </r>
  <r>
    <s v="O0172"/>
    <d v="2024-12-09T00:00:00"/>
    <s v="C084"/>
    <x v="6"/>
    <n v="5"/>
    <n v="125795"/>
    <n v="24585.57"/>
    <x v="10"/>
    <n v="2024"/>
    <s v="Q4"/>
    <n v="19.544155173099089"/>
  </r>
  <r>
    <s v="O0173"/>
    <d v="2024-04-01T00:00:00"/>
    <s v="C095"/>
    <x v="6"/>
    <n v="3"/>
    <n v="75477"/>
    <n v="14821.74"/>
    <x v="2"/>
    <n v="2024"/>
    <s v="Q2"/>
    <n v="19.63742597082555"/>
  </r>
  <r>
    <s v="O0174"/>
    <d v="2024-02-14T00:00:00"/>
    <s v="C062"/>
    <x v="9"/>
    <n v="2"/>
    <n v="22312"/>
    <n v="4352.12"/>
    <x v="0"/>
    <n v="2024"/>
    <s v="Q1"/>
    <n v="19.505736823234134"/>
  </r>
  <r>
    <s v="O0175"/>
    <d v="2024-09-17T00:00:00"/>
    <s v="C050"/>
    <x v="6"/>
    <n v="4"/>
    <n v="100636"/>
    <n v="13084.91"/>
    <x v="11"/>
    <n v="2024"/>
    <s v="Q3"/>
    <n v="13.002215906832545"/>
  </r>
  <r>
    <s v="O0176"/>
    <d v="2024-09-02T00:00:00"/>
    <s v="C064"/>
    <x v="1"/>
    <n v="1"/>
    <n v="8873"/>
    <n v="1624.1"/>
    <x v="11"/>
    <n v="2024"/>
    <s v="Q3"/>
    <n v="18.303843119576239"/>
  </r>
  <r>
    <s v="O0177"/>
    <d v="2024-12-25T00:00:00"/>
    <s v="C014"/>
    <x v="13"/>
    <n v="4"/>
    <n v="223800"/>
    <n v="41250.39"/>
    <x v="10"/>
    <n v="2024"/>
    <s v="Q4"/>
    <n v="18.431809651474531"/>
  </r>
  <r>
    <s v="O0178"/>
    <d v="2024-10-01T00:00:00"/>
    <s v="C026"/>
    <x v="12"/>
    <n v="5"/>
    <n v="33735"/>
    <n v="4176.18"/>
    <x v="7"/>
    <n v="2024"/>
    <s v="Q4"/>
    <n v="12.379368608270342"/>
  </r>
  <r>
    <s v="O0179"/>
    <d v="2024-11-15T00:00:00"/>
    <s v="C037"/>
    <x v="18"/>
    <n v="5"/>
    <n v="271920"/>
    <n v="63960.160000000003"/>
    <x v="4"/>
    <n v="2024"/>
    <s v="Q4"/>
    <n v="23.521682847896443"/>
  </r>
  <r>
    <s v="O0180"/>
    <d v="2024-12-02T00:00:00"/>
    <s v="C044"/>
    <x v="18"/>
    <n v="1"/>
    <n v="54384"/>
    <n v="4429.88"/>
    <x v="10"/>
    <n v="2024"/>
    <s v="Q4"/>
    <n v="8.1455575169167407"/>
  </r>
  <r>
    <s v="O0181"/>
    <d v="2024-08-13T00:00:00"/>
    <s v="C045"/>
    <x v="2"/>
    <n v="1"/>
    <n v="54937"/>
    <n v="9443.18"/>
    <x v="5"/>
    <n v="2024"/>
    <s v="Q3"/>
    <n v="17.189107523162896"/>
  </r>
  <r>
    <s v="O0182"/>
    <d v="2024-05-18T00:00:00"/>
    <s v="C039"/>
    <x v="6"/>
    <n v="2"/>
    <n v="50318"/>
    <n v="8371.02"/>
    <x v="1"/>
    <n v="2024"/>
    <s v="Q2"/>
    <n v="16.636233554592792"/>
  </r>
  <r>
    <s v="O0183"/>
    <d v="2024-05-11T00:00:00"/>
    <s v="C091"/>
    <x v="0"/>
    <n v="4"/>
    <n v="37576"/>
    <n v="3953.64"/>
    <x v="1"/>
    <n v="2024"/>
    <s v="Q2"/>
    <n v="10.521715988929103"/>
  </r>
  <r>
    <s v="O0184"/>
    <d v="2024-01-30T00:00:00"/>
    <s v="C025"/>
    <x v="17"/>
    <n v="5"/>
    <n v="270935"/>
    <n v="50693.14"/>
    <x v="8"/>
    <n v="2024"/>
    <s v="Q1"/>
    <n v="18.710443464299555"/>
  </r>
  <r>
    <s v="O0185"/>
    <d v="2024-07-30T00:00:00"/>
    <s v="C069"/>
    <x v="4"/>
    <n v="5"/>
    <n v="56710"/>
    <n v="5971.86"/>
    <x v="6"/>
    <n v="2024"/>
    <s v="Q3"/>
    <n v="10.530523717157466"/>
  </r>
  <r>
    <s v="O0186"/>
    <d v="2024-05-16T00:00:00"/>
    <s v="C035"/>
    <x v="2"/>
    <n v="4"/>
    <n v="219748"/>
    <n v="43558.86"/>
    <x v="1"/>
    <n v="2024"/>
    <s v="Q2"/>
    <n v="19.822187232648307"/>
  </r>
  <r>
    <s v="O0187"/>
    <d v="2024-08-28T00:00:00"/>
    <s v="C063"/>
    <x v="14"/>
    <n v="4"/>
    <n v="28620"/>
    <n v="4078.53"/>
    <x v="5"/>
    <n v="2024"/>
    <s v="Q3"/>
    <n v="14.25062893081761"/>
  </r>
  <r>
    <s v="O0188"/>
    <d v="2024-04-02T00:00:00"/>
    <s v="C031"/>
    <x v="3"/>
    <n v="2"/>
    <n v="111390"/>
    <n v="20381.53"/>
    <x v="2"/>
    <n v="2024"/>
    <s v="Q2"/>
    <n v="18.297450399497261"/>
  </r>
  <r>
    <s v="O0189"/>
    <d v="2024-01-30T00:00:00"/>
    <s v="C095"/>
    <x v="8"/>
    <n v="4"/>
    <n v="96944"/>
    <n v="16568.669999999998"/>
    <x v="8"/>
    <n v="2024"/>
    <s v="Q1"/>
    <n v="17.090970044561807"/>
  </r>
  <r>
    <s v="O0190"/>
    <d v="2024-11-26T00:00:00"/>
    <s v="C065"/>
    <x v="3"/>
    <n v="5"/>
    <n v="278475"/>
    <n v="54948.2"/>
    <x v="4"/>
    <n v="2024"/>
    <s v="Q4"/>
    <n v="19.731825118951431"/>
  </r>
  <r>
    <s v="O0191"/>
    <d v="2024-09-02T00:00:00"/>
    <s v="C098"/>
    <x v="14"/>
    <n v="3"/>
    <n v="21465"/>
    <n v="3988.91"/>
    <x v="11"/>
    <n v="2024"/>
    <s v="Q3"/>
    <n v="18.583321686466338"/>
  </r>
  <r>
    <s v="O0192"/>
    <d v="2024-12-23T00:00:00"/>
    <s v="C043"/>
    <x v="6"/>
    <n v="2"/>
    <n v="50318"/>
    <n v="11615.07"/>
    <x v="10"/>
    <n v="2024"/>
    <s v="Q4"/>
    <n v="23.083330021066022"/>
  </r>
  <r>
    <s v="O0193"/>
    <d v="2024-12-25T00:00:00"/>
    <s v="C033"/>
    <x v="0"/>
    <n v="1"/>
    <n v="9394"/>
    <n v="1766.02"/>
    <x v="10"/>
    <n v="2024"/>
    <s v="Q4"/>
    <n v="18.79944645518416"/>
  </r>
  <r>
    <s v="O0194"/>
    <d v="2024-04-25T00:00:00"/>
    <s v="C007"/>
    <x v="8"/>
    <n v="2"/>
    <n v="48472"/>
    <n v="9520.4"/>
    <x v="2"/>
    <n v="2024"/>
    <s v="Q2"/>
    <n v="19.64102987291632"/>
  </r>
  <r>
    <s v="O0195"/>
    <d v="2024-06-06T00:00:00"/>
    <s v="C073"/>
    <x v="14"/>
    <n v="5"/>
    <n v="35775"/>
    <n v="6313.85"/>
    <x v="3"/>
    <n v="2024"/>
    <s v="Q2"/>
    <n v="17.648777078965761"/>
  </r>
  <r>
    <s v="O0196"/>
    <d v="2024-06-05T00:00:00"/>
    <s v="C055"/>
    <x v="3"/>
    <n v="1"/>
    <n v="55695"/>
    <n v="11781.95"/>
    <x v="3"/>
    <n v="2024"/>
    <s v="Q2"/>
    <n v="21.154412424813717"/>
  </r>
  <r>
    <s v="O0197"/>
    <d v="2024-05-23T00:00:00"/>
    <s v="C079"/>
    <x v="0"/>
    <n v="1"/>
    <n v="9394"/>
    <n v="1938.16"/>
    <x v="1"/>
    <n v="2024"/>
    <s v="Q2"/>
    <n v="20.631892697466469"/>
  </r>
  <r>
    <s v="O0198"/>
    <d v="2024-09-22T00:00:00"/>
    <s v="C088"/>
    <x v="3"/>
    <n v="3"/>
    <n v="167085"/>
    <n v="30441.82"/>
    <x v="11"/>
    <n v="2024"/>
    <s v="Q3"/>
    <n v="18.219361402878775"/>
  </r>
  <r>
    <s v="O0199"/>
    <d v="2024-03-12T00:00:00"/>
    <s v="C049"/>
    <x v="19"/>
    <n v="1"/>
    <n v="9101"/>
    <n v="1238.3900000000001"/>
    <x v="9"/>
    <n v="2024"/>
    <s v="Q1"/>
    <n v="13.607186023513901"/>
  </r>
  <r>
    <s v="O0200"/>
    <d v="2024-01-22T00:00:00"/>
    <s v="C015"/>
    <x v="2"/>
    <n v="2"/>
    <n v="109874"/>
    <n v="21513.82"/>
    <x v="8"/>
    <n v="2024"/>
    <s v="Q1"/>
    <n v="19.580446693485264"/>
  </r>
  <r>
    <s v="O0201"/>
    <d v="2024-02-22T00:00:00"/>
    <s v="C045"/>
    <x v="5"/>
    <n v="1"/>
    <n v="8626"/>
    <n v="1753.13"/>
    <x v="0"/>
    <n v="2024"/>
    <s v="Q1"/>
    <n v="20.323788546255507"/>
  </r>
  <r>
    <s v="O0202"/>
    <d v="2024-01-26T00:00:00"/>
    <s v="C039"/>
    <x v="3"/>
    <n v="2"/>
    <n v="111390"/>
    <n v="14011.46"/>
    <x v="8"/>
    <n v="2024"/>
    <s v="Q1"/>
    <n v="12.578741359188436"/>
  </r>
  <r>
    <s v="O0203"/>
    <d v="2024-07-23T00:00:00"/>
    <s v="C047"/>
    <x v="19"/>
    <n v="1"/>
    <n v="9101"/>
    <n v="943.19"/>
    <x v="6"/>
    <n v="2024"/>
    <s v="Q3"/>
    <n v="10.363586419074828"/>
  </r>
  <r>
    <s v="O0204"/>
    <d v="2024-05-20T00:00:00"/>
    <s v="C048"/>
    <x v="0"/>
    <n v="1"/>
    <n v="9394"/>
    <n v="1836.9"/>
    <x v="1"/>
    <n v="2024"/>
    <s v="Q2"/>
    <n v="19.553970619544391"/>
  </r>
  <r>
    <s v="O0205"/>
    <d v="2024-02-27T00:00:00"/>
    <s v="C002"/>
    <x v="11"/>
    <n v="3"/>
    <n v="76824"/>
    <n v="18669.900000000001"/>
    <x v="0"/>
    <n v="2024"/>
    <s v="Q1"/>
    <n v="24.302171196501096"/>
  </r>
  <r>
    <s v="O0206"/>
    <d v="2024-05-18T00:00:00"/>
    <s v="C046"/>
    <x v="13"/>
    <n v="5"/>
    <n v="279750"/>
    <n v="66476.960000000006"/>
    <x v="1"/>
    <n v="2024"/>
    <s v="Q2"/>
    <n v="23.762988382484362"/>
  </r>
  <r>
    <s v="O0207"/>
    <d v="2024-09-27T00:00:00"/>
    <s v="C052"/>
    <x v="5"/>
    <n v="5"/>
    <n v="43130"/>
    <n v="8000.97"/>
    <x v="11"/>
    <n v="2024"/>
    <s v="Q3"/>
    <n v="18.550823092974728"/>
  </r>
  <r>
    <s v="O0208"/>
    <d v="2024-07-20T00:00:00"/>
    <s v="C061"/>
    <x v="8"/>
    <n v="4"/>
    <n v="96944"/>
    <n v="16585.13"/>
    <x v="6"/>
    <n v="2024"/>
    <s v="Q3"/>
    <n v="17.107948918963526"/>
  </r>
  <r>
    <s v="O0209"/>
    <d v="2024-01-28T00:00:00"/>
    <s v="C039"/>
    <x v="0"/>
    <n v="3"/>
    <n v="28182"/>
    <n v="4885.38"/>
    <x v="8"/>
    <n v="2024"/>
    <s v="Q1"/>
    <n v="17.335107515435386"/>
  </r>
  <r>
    <s v="O0210"/>
    <d v="2024-04-20T00:00:00"/>
    <s v="C077"/>
    <x v="11"/>
    <n v="1"/>
    <n v="25608"/>
    <n v="2811.12"/>
    <x v="2"/>
    <n v="2024"/>
    <s v="Q2"/>
    <n v="10.97750702905342"/>
  </r>
  <r>
    <s v="O0211"/>
    <d v="2024-10-02T00:00:00"/>
    <s v="C056"/>
    <x v="2"/>
    <n v="5"/>
    <n v="274685"/>
    <n v="22908.080000000002"/>
    <x v="7"/>
    <n v="2024"/>
    <s v="Q4"/>
    <n v="8.3397637293627263"/>
  </r>
  <r>
    <s v="O0212"/>
    <d v="2024-07-25T00:00:00"/>
    <s v="C035"/>
    <x v="11"/>
    <n v="3"/>
    <n v="76824"/>
    <n v="12326.39"/>
    <x v="6"/>
    <n v="2024"/>
    <s v="Q3"/>
    <n v="16.044972925127563"/>
  </r>
  <r>
    <s v="O0213"/>
    <d v="2024-10-05T00:00:00"/>
    <s v="C091"/>
    <x v="6"/>
    <n v="3"/>
    <n v="75477"/>
    <n v="6924.46"/>
    <x v="7"/>
    <n v="2024"/>
    <s v="Q4"/>
    <n v="9.1742650078831964"/>
  </r>
  <r>
    <s v="O0214"/>
    <d v="2024-09-16T00:00:00"/>
    <s v="C047"/>
    <x v="7"/>
    <n v="5"/>
    <n v="41810"/>
    <n v="9342.41"/>
    <x v="11"/>
    <n v="2024"/>
    <s v="Q3"/>
    <n v="22.344917483855536"/>
  </r>
  <r>
    <s v="O0215"/>
    <d v="2024-08-16T00:00:00"/>
    <s v="C088"/>
    <x v="8"/>
    <n v="1"/>
    <n v="24236"/>
    <n v="4489.42"/>
    <x v="5"/>
    <n v="2024"/>
    <s v="Q3"/>
    <n v="18.523766298068988"/>
  </r>
  <r>
    <s v="O0216"/>
    <d v="2024-10-23T00:00:00"/>
    <s v="C088"/>
    <x v="13"/>
    <n v="2"/>
    <n v="111900"/>
    <n v="10366.299999999999"/>
    <x v="7"/>
    <n v="2024"/>
    <s v="Q4"/>
    <n v="9.2638963360142981"/>
  </r>
  <r>
    <s v="O0217"/>
    <d v="2024-06-20T00:00:00"/>
    <s v="C019"/>
    <x v="14"/>
    <n v="4"/>
    <n v="28620"/>
    <n v="6384.27"/>
    <x v="3"/>
    <n v="2024"/>
    <s v="Q2"/>
    <n v="22.307023060796645"/>
  </r>
  <r>
    <s v="O0218"/>
    <d v="2024-07-14T00:00:00"/>
    <s v="C047"/>
    <x v="16"/>
    <n v="2"/>
    <n v="12440"/>
    <n v="1324.27"/>
    <x v="6"/>
    <n v="2024"/>
    <s v="Q3"/>
    <n v="10.645257234726687"/>
  </r>
  <r>
    <s v="O0219"/>
    <d v="2024-03-15T00:00:00"/>
    <s v="C057"/>
    <x v="1"/>
    <n v="1"/>
    <n v="8873"/>
    <n v="2183.11"/>
    <x v="9"/>
    <n v="2024"/>
    <s v="Q1"/>
    <n v="24.603967091175477"/>
  </r>
  <r>
    <s v="O0220"/>
    <d v="2024-10-02T00:00:00"/>
    <s v="C035"/>
    <x v="16"/>
    <n v="5"/>
    <n v="31100"/>
    <n v="7527.1"/>
    <x v="7"/>
    <n v="2024"/>
    <s v="Q4"/>
    <n v="24.202893890675242"/>
  </r>
  <r>
    <s v="O0221"/>
    <d v="2024-02-21T00:00:00"/>
    <s v="C002"/>
    <x v="13"/>
    <n v="4"/>
    <n v="223800"/>
    <n v="46323.93"/>
    <x v="0"/>
    <n v="2024"/>
    <s v="Q1"/>
    <n v="20.698806970509384"/>
  </r>
  <r>
    <s v="O0222"/>
    <d v="2024-08-04T00:00:00"/>
    <s v="C059"/>
    <x v="19"/>
    <n v="4"/>
    <n v="36404"/>
    <n v="6616.61"/>
    <x v="5"/>
    <n v="2024"/>
    <s v="Q3"/>
    <n v="18.175502692011865"/>
  </r>
  <r>
    <s v="O0223"/>
    <d v="2024-08-24T00:00:00"/>
    <s v="C036"/>
    <x v="10"/>
    <n v="4"/>
    <n v="24100"/>
    <n v="3591.93"/>
    <x v="5"/>
    <n v="2024"/>
    <s v="Q3"/>
    <n v="14.90427385892116"/>
  </r>
  <r>
    <s v="O0224"/>
    <d v="2024-11-26T00:00:00"/>
    <s v="C007"/>
    <x v="6"/>
    <n v="4"/>
    <n v="100636"/>
    <n v="21380.5"/>
    <x v="4"/>
    <n v="2024"/>
    <s v="Q4"/>
    <n v="21.245379387098058"/>
  </r>
  <r>
    <s v="O0225"/>
    <d v="2024-10-27T00:00:00"/>
    <s v="C091"/>
    <x v="19"/>
    <n v="1"/>
    <n v="9101"/>
    <n v="2014.96"/>
    <x v="7"/>
    <n v="2024"/>
    <s v="Q4"/>
    <n v="22.139984617075047"/>
  </r>
  <r>
    <s v="O0226"/>
    <d v="2024-10-09T00:00:00"/>
    <s v="C018"/>
    <x v="11"/>
    <n v="5"/>
    <n v="128040"/>
    <n v="26855.69"/>
    <x v="7"/>
    <n v="2024"/>
    <s v="Q4"/>
    <n v="20.974453295845048"/>
  </r>
  <r>
    <s v="O0227"/>
    <d v="2024-12-23T00:00:00"/>
    <s v="C035"/>
    <x v="8"/>
    <n v="3"/>
    <n v="72708"/>
    <n v="15730.72"/>
    <x v="10"/>
    <n v="2024"/>
    <s v="Q4"/>
    <n v="21.635473400451119"/>
  </r>
  <r>
    <s v="O0228"/>
    <d v="2024-07-02T00:00:00"/>
    <s v="C032"/>
    <x v="4"/>
    <n v="2"/>
    <n v="22684"/>
    <n v="2221.71"/>
    <x v="6"/>
    <n v="2024"/>
    <s v="Q3"/>
    <n v="9.7941721036854172"/>
  </r>
  <r>
    <s v="O0229"/>
    <d v="2024-06-09T00:00:00"/>
    <s v="C021"/>
    <x v="6"/>
    <n v="1"/>
    <n v="25159"/>
    <n v="5931.94"/>
    <x v="3"/>
    <n v="2024"/>
    <s v="Q2"/>
    <n v="23.577805159187566"/>
  </r>
  <r>
    <s v="O0230"/>
    <d v="2024-01-29T00:00:00"/>
    <s v="C055"/>
    <x v="10"/>
    <n v="3"/>
    <n v="18075"/>
    <n v="3466.5"/>
    <x v="8"/>
    <n v="2024"/>
    <s v="Q1"/>
    <n v="19.178423236514522"/>
  </r>
  <r>
    <s v="O0231"/>
    <d v="2024-05-30T00:00:00"/>
    <s v="C079"/>
    <x v="17"/>
    <n v="4"/>
    <n v="216748"/>
    <n v="31205.55"/>
    <x v="1"/>
    <n v="2024"/>
    <s v="Q2"/>
    <n v="14.397157067193239"/>
  </r>
  <r>
    <s v="O0232"/>
    <d v="2024-05-01T00:00:00"/>
    <s v="C097"/>
    <x v="3"/>
    <n v="4"/>
    <n v="222780"/>
    <n v="48052"/>
    <x v="1"/>
    <n v="2024"/>
    <s v="Q2"/>
    <n v="21.5692611545022"/>
  </r>
  <r>
    <s v="O0233"/>
    <d v="2024-06-23T00:00:00"/>
    <s v="C082"/>
    <x v="4"/>
    <n v="5"/>
    <n v="56710"/>
    <n v="5928.66"/>
    <x v="3"/>
    <n v="2024"/>
    <s v="Q2"/>
    <n v="10.454346676071239"/>
  </r>
  <r>
    <s v="O0234"/>
    <d v="2024-11-25T00:00:00"/>
    <s v="C087"/>
    <x v="6"/>
    <n v="5"/>
    <n v="125795"/>
    <n v="13746.11"/>
    <x v="4"/>
    <n v="2024"/>
    <s v="Q4"/>
    <n v="10.927389800866489"/>
  </r>
  <r>
    <s v="O0235"/>
    <d v="2024-03-03T00:00:00"/>
    <s v="C081"/>
    <x v="18"/>
    <n v="3"/>
    <n v="163152"/>
    <n v="34061.370000000003"/>
    <x v="9"/>
    <n v="2024"/>
    <s v="Q1"/>
    <n v="20.877077817005002"/>
  </r>
  <r>
    <s v="O0236"/>
    <d v="2024-07-15T00:00:00"/>
    <s v="C075"/>
    <x v="19"/>
    <n v="4"/>
    <n v="36404"/>
    <n v="8465.4599999999991"/>
    <x v="6"/>
    <n v="2024"/>
    <s v="Q3"/>
    <n v="23.254202834853309"/>
  </r>
  <r>
    <s v="O0237"/>
    <d v="2024-02-21T00:00:00"/>
    <s v="C081"/>
    <x v="12"/>
    <n v="4"/>
    <n v="26988"/>
    <n v="5446.73"/>
    <x v="0"/>
    <n v="2024"/>
    <s v="Q1"/>
    <n v="20.182043871350228"/>
  </r>
  <r>
    <s v="O0238"/>
    <d v="2024-12-12T00:00:00"/>
    <s v="C032"/>
    <x v="3"/>
    <n v="3"/>
    <n v="167085"/>
    <n v="32017.599999999999"/>
    <x v="10"/>
    <n v="2024"/>
    <s v="Q4"/>
    <n v="19.162462219828232"/>
  </r>
  <r>
    <s v="O0239"/>
    <d v="2024-12-05T00:00:00"/>
    <s v="C060"/>
    <x v="18"/>
    <n v="3"/>
    <n v="163152"/>
    <n v="26715.53"/>
    <x v="10"/>
    <n v="2024"/>
    <s v="Q4"/>
    <n v="16.374626115524173"/>
  </r>
  <r>
    <s v="O0240"/>
    <d v="2024-10-04T00:00:00"/>
    <s v="C093"/>
    <x v="14"/>
    <n v="4"/>
    <n v="28620"/>
    <n v="4433.32"/>
    <x v="7"/>
    <n v="2024"/>
    <s v="Q4"/>
    <n v="15.490286512928023"/>
  </r>
  <r>
    <s v="O0241"/>
    <d v="2024-03-05T00:00:00"/>
    <s v="C016"/>
    <x v="8"/>
    <n v="4"/>
    <n v="96944"/>
    <n v="23029.15"/>
    <x v="9"/>
    <n v="2024"/>
    <s v="Q1"/>
    <n v="23.755106040600758"/>
  </r>
  <r>
    <s v="O0242"/>
    <d v="2024-01-14T00:00:00"/>
    <s v="C020"/>
    <x v="19"/>
    <n v="4"/>
    <n v="36404"/>
    <n v="5478.25"/>
    <x v="8"/>
    <n v="2024"/>
    <s v="Q1"/>
    <n v="15.048483683111746"/>
  </r>
  <r>
    <s v="O0243"/>
    <d v="2024-07-12T00:00:00"/>
    <s v="C084"/>
    <x v="5"/>
    <n v="2"/>
    <n v="17252"/>
    <n v="2725.74"/>
    <x v="6"/>
    <n v="2024"/>
    <s v="Q3"/>
    <n v="15.799559471365637"/>
  </r>
  <r>
    <s v="O0244"/>
    <d v="2024-03-19T00:00:00"/>
    <s v="C086"/>
    <x v="11"/>
    <n v="3"/>
    <n v="76824"/>
    <n v="18134.53"/>
    <x v="9"/>
    <n v="2024"/>
    <s v="Q1"/>
    <n v="23.605292616890551"/>
  </r>
  <r>
    <s v="O0245"/>
    <d v="2024-07-22T00:00:00"/>
    <s v="C068"/>
    <x v="6"/>
    <n v="3"/>
    <n v="75477"/>
    <n v="6279.22"/>
    <x v="6"/>
    <n v="2024"/>
    <s v="Q3"/>
    <n v="8.3193820634100462"/>
  </r>
  <r>
    <s v="O0246"/>
    <d v="2024-01-03T00:00:00"/>
    <s v="C082"/>
    <x v="0"/>
    <n v="5"/>
    <n v="46970"/>
    <n v="9311.16"/>
    <x v="8"/>
    <n v="2024"/>
    <s v="Q1"/>
    <n v="19.823632105599316"/>
  </r>
  <r>
    <s v="O0247"/>
    <d v="2024-12-05T00:00:00"/>
    <s v="C070"/>
    <x v="0"/>
    <n v="4"/>
    <n v="37576"/>
    <n v="8801.5"/>
    <x v="10"/>
    <n v="2024"/>
    <s v="Q4"/>
    <n v="23.423195656802214"/>
  </r>
  <r>
    <s v="O0248"/>
    <d v="2024-10-01T00:00:00"/>
    <s v="C023"/>
    <x v="3"/>
    <n v="2"/>
    <n v="111390"/>
    <n v="10351.44"/>
    <x v="7"/>
    <n v="2024"/>
    <s v="Q4"/>
    <n v="9.2929706436843524"/>
  </r>
  <r>
    <s v="O0249"/>
    <d v="2024-01-12T00:00:00"/>
    <s v="C072"/>
    <x v="12"/>
    <n v="2"/>
    <n v="13494"/>
    <n v="1941.33"/>
    <x v="8"/>
    <n v="2024"/>
    <s v="Q1"/>
    <n v="14.386616273899511"/>
  </r>
  <r>
    <s v="O0250"/>
    <d v="2024-01-21T00:00:00"/>
    <s v="C066"/>
    <x v="14"/>
    <n v="4"/>
    <n v="28620"/>
    <n v="3436.19"/>
    <x v="8"/>
    <n v="2024"/>
    <s v="Q1"/>
    <n v="12.006254367575123"/>
  </r>
  <r>
    <s v="O0251"/>
    <d v="2024-11-30T00:00:00"/>
    <s v="C067"/>
    <x v="14"/>
    <n v="5"/>
    <n v="35775"/>
    <n v="7062.14"/>
    <x v="4"/>
    <n v="2024"/>
    <s v="Q4"/>
    <n v="19.740433263452132"/>
  </r>
  <r>
    <s v="O0252"/>
    <d v="2024-08-26T00:00:00"/>
    <s v="C069"/>
    <x v="5"/>
    <n v="2"/>
    <n v="17252"/>
    <n v="2547.91"/>
    <x v="5"/>
    <n v="2024"/>
    <s v="Q3"/>
    <n v="14.768780431254347"/>
  </r>
  <r>
    <s v="O0253"/>
    <d v="2024-10-13T00:00:00"/>
    <s v="C016"/>
    <x v="8"/>
    <n v="1"/>
    <n v="24236"/>
    <n v="3533.31"/>
    <x v="7"/>
    <n v="2024"/>
    <s v="Q4"/>
    <n v="14.578767123287669"/>
  </r>
  <r>
    <s v="O0254"/>
    <d v="2024-05-02T00:00:00"/>
    <s v="C013"/>
    <x v="18"/>
    <n v="1"/>
    <n v="54384"/>
    <n v="13393.47"/>
    <x v="1"/>
    <n v="2024"/>
    <s v="Q2"/>
    <n v="24.627592674315974"/>
  </r>
  <r>
    <s v="O0255"/>
    <d v="2024-06-08T00:00:00"/>
    <s v="C100"/>
    <x v="19"/>
    <n v="1"/>
    <n v="9101"/>
    <n v="2206.0300000000002"/>
    <x v="3"/>
    <n v="2024"/>
    <s v="Q2"/>
    <n v="24.239424239094607"/>
  </r>
  <r>
    <s v="O0256"/>
    <d v="2024-03-09T00:00:00"/>
    <s v="C060"/>
    <x v="2"/>
    <n v="4"/>
    <n v="219748"/>
    <n v="23807.21"/>
    <x v="9"/>
    <n v="2024"/>
    <s v="Q1"/>
    <n v="10.833868795165371"/>
  </r>
  <r>
    <s v="O0257"/>
    <d v="2024-09-13T00:00:00"/>
    <s v="C072"/>
    <x v="3"/>
    <n v="5"/>
    <n v="278475"/>
    <n v="52410.49"/>
    <x v="11"/>
    <n v="2024"/>
    <s v="Q3"/>
    <n v="18.820536852500226"/>
  </r>
  <r>
    <s v="O0258"/>
    <d v="2024-12-23T00:00:00"/>
    <s v="C054"/>
    <x v="7"/>
    <n v="2"/>
    <n v="16724"/>
    <n v="3324.9"/>
    <x v="10"/>
    <n v="2024"/>
    <s v="Q4"/>
    <n v="19.881009327911983"/>
  </r>
  <r>
    <s v="O0259"/>
    <d v="2024-07-03T00:00:00"/>
    <s v="C050"/>
    <x v="14"/>
    <n v="4"/>
    <n v="28620"/>
    <n v="6264.24"/>
    <x v="6"/>
    <n v="2024"/>
    <s v="Q3"/>
    <n v="21.887631027253668"/>
  </r>
  <r>
    <s v="O0260"/>
    <d v="2024-03-30T00:00:00"/>
    <s v="C020"/>
    <x v="2"/>
    <n v="5"/>
    <n v="274685"/>
    <n v="35025.910000000003"/>
    <x v="9"/>
    <n v="2024"/>
    <s v="Q1"/>
    <n v="12.751300580665125"/>
  </r>
  <r>
    <s v="O0261"/>
    <d v="2024-06-21T00:00:00"/>
    <s v="C100"/>
    <x v="4"/>
    <n v="1"/>
    <n v="11342"/>
    <n v="2316.9"/>
    <x v="3"/>
    <n v="2024"/>
    <s v="Q2"/>
    <n v="20.427614177393757"/>
  </r>
  <r>
    <s v="O0262"/>
    <d v="2024-07-15T00:00:00"/>
    <s v="C019"/>
    <x v="2"/>
    <n v="3"/>
    <n v="164811"/>
    <n v="20253.060000000001"/>
    <x v="6"/>
    <n v="2024"/>
    <s v="Q3"/>
    <n v="12.288657917250671"/>
  </r>
  <r>
    <s v="O0263"/>
    <d v="2024-03-07T00:00:00"/>
    <s v="C036"/>
    <x v="8"/>
    <n v="4"/>
    <n v="96944"/>
    <n v="7977.48"/>
    <x v="9"/>
    <n v="2024"/>
    <s v="Q1"/>
    <n v="8.2289569235847502"/>
  </r>
  <r>
    <s v="O0264"/>
    <d v="2024-10-23T00:00:00"/>
    <s v="C033"/>
    <x v="0"/>
    <n v="2"/>
    <n v="18788"/>
    <n v="1728.09"/>
    <x v="7"/>
    <n v="2024"/>
    <s v="Q4"/>
    <n v="9.1978390461997019"/>
  </r>
  <r>
    <s v="O0265"/>
    <d v="2024-05-02T00:00:00"/>
    <s v="C069"/>
    <x v="4"/>
    <n v="2"/>
    <n v="22684"/>
    <n v="3908.73"/>
    <x v="1"/>
    <n v="2024"/>
    <s v="Q2"/>
    <n v="17.231220243343326"/>
  </r>
  <r>
    <s v="O0266"/>
    <d v="2024-12-30T00:00:00"/>
    <s v="C074"/>
    <x v="13"/>
    <n v="5"/>
    <n v="279750"/>
    <n v="44280.41"/>
    <x v="10"/>
    <n v="2024"/>
    <s v="Q4"/>
    <n v="15.828564789991065"/>
  </r>
  <r>
    <s v="O0267"/>
    <d v="2024-12-07T00:00:00"/>
    <s v="C026"/>
    <x v="5"/>
    <n v="1"/>
    <n v="8626"/>
    <n v="914.56"/>
    <x v="10"/>
    <n v="2024"/>
    <s v="Q4"/>
    <n v="10.602364943194992"/>
  </r>
  <r>
    <s v="O0268"/>
    <d v="2024-12-15T00:00:00"/>
    <s v="C008"/>
    <x v="19"/>
    <n v="4"/>
    <n v="36404"/>
    <n v="5280.29"/>
    <x v="10"/>
    <n v="2024"/>
    <s v="Q4"/>
    <n v="14.504697286012528"/>
  </r>
  <r>
    <s v="O0269"/>
    <d v="2024-10-02T00:00:00"/>
    <s v="C018"/>
    <x v="8"/>
    <n v="5"/>
    <n v="121180"/>
    <n v="12355.5"/>
    <x v="7"/>
    <n v="2024"/>
    <s v="Q4"/>
    <n v="10.195989437200858"/>
  </r>
  <r>
    <s v="O0270"/>
    <d v="2024-03-12T00:00:00"/>
    <s v="C070"/>
    <x v="5"/>
    <n v="2"/>
    <n v="17252"/>
    <n v="3872.84"/>
    <x v="9"/>
    <n v="2024"/>
    <s v="Q1"/>
    <n v="22.448643635520522"/>
  </r>
  <r>
    <s v="O0271"/>
    <d v="2024-04-01T00:00:00"/>
    <s v="C037"/>
    <x v="14"/>
    <n v="4"/>
    <n v="28620"/>
    <n v="4025.87"/>
    <x v="2"/>
    <n v="2024"/>
    <s v="Q2"/>
    <n v="14.066631726065687"/>
  </r>
  <r>
    <s v="O0272"/>
    <d v="2024-10-01T00:00:00"/>
    <s v="C029"/>
    <x v="16"/>
    <n v="2"/>
    <n v="12440"/>
    <n v="1730.56"/>
    <x v="7"/>
    <n v="2024"/>
    <s v="Q4"/>
    <n v="13.911254019292604"/>
  </r>
  <r>
    <s v="O0273"/>
    <d v="2024-04-16T00:00:00"/>
    <s v="C038"/>
    <x v="5"/>
    <n v="5"/>
    <n v="43130"/>
    <n v="9516.64"/>
    <x v="2"/>
    <n v="2024"/>
    <s v="Q2"/>
    <n v="22.065012752144678"/>
  </r>
  <r>
    <s v="O0274"/>
    <d v="2024-11-14T00:00:00"/>
    <s v="C091"/>
    <x v="15"/>
    <n v="1"/>
    <n v="11235"/>
    <n v="1453.25"/>
    <x v="4"/>
    <n v="2024"/>
    <s v="Q4"/>
    <n v="12.935024477080551"/>
  </r>
  <r>
    <s v="O0275"/>
    <d v="2024-08-15T00:00:00"/>
    <s v="C076"/>
    <x v="6"/>
    <n v="5"/>
    <n v="125795"/>
    <n v="18032.400000000001"/>
    <x v="5"/>
    <n v="2024"/>
    <s v="Q3"/>
    <n v="14.334750983743394"/>
  </r>
  <r>
    <s v="O0276"/>
    <d v="2024-06-10T00:00:00"/>
    <s v="C033"/>
    <x v="4"/>
    <n v="1"/>
    <n v="11342"/>
    <n v="1007.75"/>
    <x v="3"/>
    <n v="2024"/>
    <s v="Q2"/>
    <n v="8.8851172632692634"/>
  </r>
  <r>
    <s v="O0277"/>
    <d v="2024-08-10T00:00:00"/>
    <s v="C021"/>
    <x v="13"/>
    <n v="1"/>
    <n v="55950"/>
    <n v="5546.21"/>
    <x v="5"/>
    <n v="2024"/>
    <s v="Q3"/>
    <n v="9.9127971403038426"/>
  </r>
  <r>
    <s v="O0278"/>
    <d v="2024-09-15T00:00:00"/>
    <s v="C082"/>
    <x v="8"/>
    <n v="2"/>
    <n v="48472"/>
    <n v="10014.01"/>
    <x v="11"/>
    <n v="2024"/>
    <s v="Q3"/>
    <n v="20.659370358144908"/>
  </r>
  <r>
    <s v="O0279"/>
    <d v="2024-12-28T00:00:00"/>
    <s v="C065"/>
    <x v="1"/>
    <n v="1"/>
    <n v="8873"/>
    <n v="2085.7199999999998"/>
    <x v="10"/>
    <n v="2024"/>
    <s v="Q4"/>
    <n v="23.506367632142453"/>
  </r>
  <r>
    <s v="O0280"/>
    <d v="2024-10-23T00:00:00"/>
    <s v="C028"/>
    <x v="1"/>
    <n v="5"/>
    <n v="44365"/>
    <n v="4559.49"/>
    <x v="7"/>
    <n v="2024"/>
    <s v="Q4"/>
    <n v="10.277223036177165"/>
  </r>
  <r>
    <s v="O0281"/>
    <d v="2024-10-15T00:00:00"/>
    <s v="C033"/>
    <x v="19"/>
    <n v="1"/>
    <n v="9101"/>
    <n v="1979.15"/>
    <x v="7"/>
    <n v="2024"/>
    <s v="Q4"/>
    <n v="21.746511372376663"/>
  </r>
  <r>
    <s v="O0282"/>
    <d v="2024-05-17T00:00:00"/>
    <s v="C049"/>
    <x v="18"/>
    <n v="5"/>
    <n v="271920"/>
    <n v="50117.279999999999"/>
    <x v="1"/>
    <n v="2024"/>
    <s v="Q2"/>
    <n v="18.430891438658428"/>
  </r>
  <r>
    <s v="O0283"/>
    <d v="2024-07-29T00:00:00"/>
    <s v="C005"/>
    <x v="12"/>
    <n v="5"/>
    <n v="33735"/>
    <n v="5582.72"/>
    <x v="6"/>
    <n v="2024"/>
    <s v="Q3"/>
    <n v="16.548747591522158"/>
  </r>
  <r>
    <s v="O0284"/>
    <d v="2024-02-20T00:00:00"/>
    <s v="C036"/>
    <x v="17"/>
    <n v="4"/>
    <n v="216748"/>
    <n v="27361.52"/>
    <x v="0"/>
    <n v="2024"/>
    <s v="Q1"/>
    <n v="12.623655120231792"/>
  </r>
  <r>
    <s v="O0285"/>
    <d v="2024-08-20T00:00:00"/>
    <s v="C086"/>
    <x v="13"/>
    <n v="2"/>
    <n v="111900"/>
    <n v="19595.61"/>
    <x v="5"/>
    <n v="2024"/>
    <s v="Q3"/>
    <n v="17.51171581769437"/>
  </r>
  <r>
    <s v="O0286"/>
    <d v="2024-10-02T00:00:00"/>
    <s v="C097"/>
    <x v="9"/>
    <n v="4"/>
    <n v="44624"/>
    <n v="5195.8999999999996"/>
    <x v="7"/>
    <n v="2024"/>
    <s v="Q4"/>
    <n v="11.643734313373969"/>
  </r>
  <r>
    <s v="O0287"/>
    <d v="2024-01-22T00:00:00"/>
    <s v="C044"/>
    <x v="0"/>
    <n v="1"/>
    <n v="9394"/>
    <n v="874.67"/>
    <x v="8"/>
    <n v="2024"/>
    <s v="Q1"/>
    <n v="9.3109431552054485"/>
  </r>
  <r>
    <s v="O0288"/>
    <d v="2024-10-31T00:00:00"/>
    <s v="C055"/>
    <x v="15"/>
    <n v="2"/>
    <n v="22470"/>
    <n v="5452.76"/>
    <x v="7"/>
    <n v="2024"/>
    <s v="Q4"/>
    <n v="24.266844681797952"/>
  </r>
  <r>
    <s v="O0289"/>
    <d v="2024-07-03T00:00:00"/>
    <s v="C065"/>
    <x v="14"/>
    <n v="5"/>
    <n v="35775"/>
    <n v="5202.28"/>
    <x v="6"/>
    <n v="2024"/>
    <s v="Q3"/>
    <n v="14.541663172606567"/>
  </r>
  <r>
    <s v="O0290"/>
    <d v="2024-10-27T00:00:00"/>
    <s v="C026"/>
    <x v="0"/>
    <n v="3"/>
    <n v="28182"/>
    <n v="5410.04"/>
    <x v="7"/>
    <n v="2024"/>
    <s v="Q4"/>
    <n v="19.196792278759492"/>
  </r>
  <r>
    <s v="O0291"/>
    <d v="2024-08-22T00:00:00"/>
    <s v="C097"/>
    <x v="5"/>
    <n v="3"/>
    <n v="25878"/>
    <n v="6055.43"/>
    <x v="5"/>
    <n v="2024"/>
    <s v="Q3"/>
    <n v="23.399914985702143"/>
  </r>
  <r>
    <s v="O0292"/>
    <d v="2024-05-26T00:00:00"/>
    <s v="C006"/>
    <x v="4"/>
    <n v="2"/>
    <n v="22684"/>
    <n v="5251.74"/>
    <x v="1"/>
    <n v="2024"/>
    <s v="Q2"/>
    <n v="23.151736907071061"/>
  </r>
  <r>
    <s v="O0293"/>
    <d v="2024-10-16T00:00:00"/>
    <s v="C061"/>
    <x v="9"/>
    <n v="5"/>
    <n v="55780"/>
    <n v="9213.64"/>
    <x v="7"/>
    <n v="2024"/>
    <s v="Q4"/>
    <n v="16.517820007171029"/>
  </r>
  <r>
    <s v="O0294"/>
    <d v="2024-10-20T00:00:00"/>
    <s v="C051"/>
    <x v="5"/>
    <n v="4"/>
    <n v="34504"/>
    <n v="7433.33"/>
    <x v="7"/>
    <n v="2024"/>
    <s v="Q4"/>
    <n v="21.54338627405518"/>
  </r>
  <r>
    <s v="O0295"/>
    <d v="2024-06-29T00:00:00"/>
    <s v="C083"/>
    <x v="16"/>
    <n v="4"/>
    <n v="24880"/>
    <n v="3123.58"/>
    <x v="3"/>
    <n v="2024"/>
    <s v="Q2"/>
    <n v="12.55458199356913"/>
  </r>
  <r>
    <s v="O0296"/>
    <d v="2024-09-01T00:00:00"/>
    <s v="C061"/>
    <x v="9"/>
    <n v="5"/>
    <n v="55780"/>
    <n v="13448.6"/>
    <x v="11"/>
    <n v="2024"/>
    <s v="Q3"/>
    <n v="24.110075295804947"/>
  </r>
  <r>
    <s v="O0297"/>
    <d v="2024-06-11T00:00:00"/>
    <s v="C003"/>
    <x v="17"/>
    <n v="3"/>
    <n v="162561"/>
    <n v="29273.33"/>
    <x v="3"/>
    <n v="2024"/>
    <s v="Q2"/>
    <n v="18.007597148147468"/>
  </r>
  <r>
    <s v="O0298"/>
    <d v="2024-05-22T00:00:00"/>
    <s v="C020"/>
    <x v="4"/>
    <n v="5"/>
    <n v="56710"/>
    <n v="9894.58"/>
    <x v="1"/>
    <n v="2024"/>
    <s v="Q2"/>
    <n v="17.447681184976194"/>
  </r>
  <r>
    <s v="O0299"/>
    <d v="2024-09-23T00:00:00"/>
    <s v="C009"/>
    <x v="4"/>
    <n v="3"/>
    <n v="34026"/>
    <n v="5123.37"/>
    <x v="11"/>
    <n v="2024"/>
    <s v="Q3"/>
    <n v="15.057220948686298"/>
  </r>
  <r>
    <s v="O0300"/>
    <d v="2024-10-20T00:00:00"/>
    <s v="C004"/>
    <x v="8"/>
    <n v="5"/>
    <n v="121180"/>
    <n v="12032.77"/>
    <x v="7"/>
    <n v="2024"/>
    <s v="Q4"/>
    <n v="9.9296666116520882"/>
  </r>
  <r>
    <s v="O0301"/>
    <d v="2024-06-21T00:00:00"/>
    <s v="C068"/>
    <x v="19"/>
    <n v="1"/>
    <n v="9101"/>
    <n v="2123.9499999999998"/>
    <x v="3"/>
    <n v="2024"/>
    <s v="Q2"/>
    <n v="23.337545324689593"/>
  </r>
  <r>
    <s v="O0302"/>
    <d v="2024-10-25T00:00:00"/>
    <s v="C048"/>
    <x v="7"/>
    <n v="1"/>
    <n v="8362"/>
    <n v="1575.14"/>
    <x v="7"/>
    <n v="2024"/>
    <s v="Q4"/>
    <n v="18.836881128916527"/>
  </r>
  <r>
    <s v="O0303"/>
    <d v="2024-08-16T00:00:00"/>
    <s v="C010"/>
    <x v="18"/>
    <n v="1"/>
    <n v="54384"/>
    <n v="12182.79"/>
    <x v="5"/>
    <n v="2024"/>
    <s v="Q3"/>
    <n v="22.401423212709624"/>
  </r>
  <r>
    <s v="O0304"/>
    <d v="2024-03-23T00:00:00"/>
    <s v="C043"/>
    <x v="11"/>
    <n v="5"/>
    <n v="128040"/>
    <n v="10317.34"/>
    <x v="9"/>
    <n v="2024"/>
    <s v="Q1"/>
    <n v="8.0579037800687292"/>
  </r>
  <r>
    <s v="O0305"/>
    <d v="2024-10-24T00:00:00"/>
    <s v="C042"/>
    <x v="10"/>
    <n v="2"/>
    <n v="12050"/>
    <n v="1263.3800000000001"/>
    <x v="7"/>
    <n v="2024"/>
    <s v="Q4"/>
    <n v="10.484481327800831"/>
  </r>
  <r>
    <s v="O0306"/>
    <d v="2024-09-17T00:00:00"/>
    <s v="C019"/>
    <x v="8"/>
    <n v="1"/>
    <n v="24236"/>
    <n v="3603.31"/>
    <x v="11"/>
    <n v="2024"/>
    <s v="Q3"/>
    <n v="14.867593662320514"/>
  </r>
  <r>
    <s v="O0307"/>
    <d v="2024-11-07T00:00:00"/>
    <s v="C054"/>
    <x v="10"/>
    <n v="3"/>
    <n v="18075"/>
    <n v="4063.58"/>
    <x v="4"/>
    <n v="2024"/>
    <s v="Q4"/>
    <n v="22.481770401106498"/>
  </r>
  <r>
    <s v="O0308"/>
    <d v="2024-05-06T00:00:00"/>
    <s v="C048"/>
    <x v="9"/>
    <n v="1"/>
    <n v="11156"/>
    <n v="2348.15"/>
    <x v="1"/>
    <n v="2024"/>
    <s v="Q2"/>
    <n v="21.048314808174972"/>
  </r>
  <r>
    <s v="O0309"/>
    <d v="2024-11-12T00:00:00"/>
    <s v="C034"/>
    <x v="1"/>
    <n v="5"/>
    <n v="44365"/>
    <n v="5690.06"/>
    <x v="4"/>
    <n v="2024"/>
    <s v="Q4"/>
    <n v="12.825560689732898"/>
  </r>
  <r>
    <s v="O0310"/>
    <d v="2024-05-16T00:00:00"/>
    <s v="C011"/>
    <x v="5"/>
    <n v="2"/>
    <n v="17252"/>
    <n v="4032.62"/>
    <x v="1"/>
    <n v="2024"/>
    <s v="Q2"/>
    <n v="23.374797124971018"/>
  </r>
  <r>
    <s v="O0311"/>
    <d v="2024-11-24T00:00:00"/>
    <s v="C053"/>
    <x v="5"/>
    <n v="2"/>
    <n v="17252"/>
    <n v="2208.48"/>
    <x v="4"/>
    <n v="2024"/>
    <s v="Q4"/>
    <n v="12.801298400185484"/>
  </r>
  <r>
    <s v="O0312"/>
    <d v="2024-09-02T00:00:00"/>
    <s v="C034"/>
    <x v="0"/>
    <n v="2"/>
    <n v="18788"/>
    <n v="1818.69"/>
    <x v="11"/>
    <n v="2024"/>
    <s v="Q3"/>
    <n v="9.6800617415371519"/>
  </r>
  <r>
    <s v="O0313"/>
    <d v="2024-04-14T00:00:00"/>
    <s v="C007"/>
    <x v="11"/>
    <n v="3"/>
    <n v="76824"/>
    <n v="16429.419999999998"/>
    <x v="2"/>
    <n v="2024"/>
    <s v="Q2"/>
    <n v="21.385790898677495"/>
  </r>
  <r>
    <s v="O0314"/>
    <d v="2024-05-31T00:00:00"/>
    <s v="C070"/>
    <x v="5"/>
    <n v="5"/>
    <n v="43130"/>
    <n v="5763.37"/>
    <x v="1"/>
    <n v="2024"/>
    <s v="Q2"/>
    <n v="13.362786923255273"/>
  </r>
  <r>
    <s v="O0315"/>
    <d v="2024-07-05T00:00:00"/>
    <s v="C067"/>
    <x v="13"/>
    <n v="1"/>
    <n v="55950"/>
    <n v="8682.2199999999993"/>
    <x v="6"/>
    <n v="2024"/>
    <s v="Q3"/>
    <n v="15.517819481680069"/>
  </r>
  <r>
    <s v="O0316"/>
    <d v="2024-08-01T00:00:00"/>
    <s v="C096"/>
    <x v="9"/>
    <n v="1"/>
    <n v="11156"/>
    <n v="2768.67"/>
    <x v="5"/>
    <n v="2024"/>
    <s v="Q3"/>
    <n v="24.817766224453212"/>
  </r>
  <r>
    <s v="O0317"/>
    <d v="2024-10-28T00:00:00"/>
    <s v="C096"/>
    <x v="12"/>
    <n v="5"/>
    <n v="33735"/>
    <n v="2931.79"/>
    <x v="7"/>
    <n v="2024"/>
    <s v="Q4"/>
    <n v="8.6906476952719736"/>
  </r>
  <r>
    <s v="O0318"/>
    <d v="2024-04-11T00:00:00"/>
    <s v="C090"/>
    <x v="11"/>
    <n v="4"/>
    <n v="102432"/>
    <n v="11405.09"/>
    <x v="2"/>
    <n v="2024"/>
    <s v="Q2"/>
    <n v="11.134303733208373"/>
  </r>
  <r>
    <s v="O0319"/>
    <d v="2024-10-27T00:00:00"/>
    <s v="C030"/>
    <x v="6"/>
    <n v="5"/>
    <n v="125795"/>
    <n v="12844.64"/>
    <x v="7"/>
    <n v="2024"/>
    <s v="Q4"/>
    <n v="10.210771493302595"/>
  </r>
  <r>
    <s v="O0320"/>
    <d v="2024-01-29T00:00:00"/>
    <s v="C065"/>
    <x v="6"/>
    <n v="3"/>
    <n v="75477"/>
    <n v="11919.08"/>
    <x v="8"/>
    <n v="2024"/>
    <s v="Q1"/>
    <n v="15.791671635067637"/>
  </r>
  <r>
    <s v="O0321"/>
    <d v="2024-11-10T00:00:00"/>
    <s v="C047"/>
    <x v="15"/>
    <n v="3"/>
    <n v="33705"/>
    <n v="8008.31"/>
    <x v="4"/>
    <n v="2024"/>
    <s v="Q4"/>
    <n v="23.760005933837711"/>
  </r>
  <r>
    <s v="O0322"/>
    <d v="2024-11-21T00:00:00"/>
    <s v="C093"/>
    <x v="10"/>
    <n v="2"/>
    <n v="12050"/>
    <n v="2860.12"/>
    <x v="4"/>
    <n v="2024"/>
    <s v="Q4"/>
    <n v="23.735435684647303"/>
  </r>
  <r>
    <s v="O0323"/>
    <d v="2024-05-09T00:00:00"/>
    <s v="C002"/>
    <x v="19"/>
    <n v="4"/>
    <n v="36404"/>
    <n v="3111.99"/>
    <x v="1"/>
    <n v="2024"/>
    <s v="Q2"/>
    <n v="8.5484836831117441"/>
  </r>
  <r>
    <s v="O0324"/>
    <d v="2024-02-13T00:00:00"/>
    <s v="C071"/>
    <x v="9"/>
    <n v="1"/>
    <n v="11156"/>
    <n v="1328.85"/>
    <x v="0"/>
    <n v="2024"/>
    <s v="Q1"/>
    <n v="11.911527429186087"/>
  </r>
  <r>
    <s v="O0325"/>
    <d v="2024-04-12T00:00:00"/>
    <s v="C068"/>
    <x v="12"/>
    <n v="1"/>
    <n v="6747"/>
    <n v="1624.64"/>
    <x v="2"/>
    <n v="2024"/>
    <s v="Q2"/>
    <n v="24.079442715280866"/>
  </r>
  <r>
    <s v="O0326"/>
    <d v="2024-09-16T00:00:00"/>
    <s v="C027"/>
    <x v="15"/>
    <n v="3"/>
    <n v="33705"/>
    <n v="4088.87"/>
    <x v="11"/>
    <n v="2024"/>
    <s v="Q3"/>
    <n v="12.131345497700638"/>
  </r>
  <r>
    <s v="O0327"/>
    <d v="2024-02-07T00:00:00"/>
    <s v="C048"/>
    <x v="3"/>
    <n v="4"/>
    <n v="222780"/>
    <n v="53591.12"/>
    <x v="0"/>
    <n v="2024"/>
    <s v="Q1"/>
    <n v="24.055624382799177"/>
  </r>
  <r>
    <s v="O0328"/>
    <d v="2024-11-15T00:00:00"/>
    <s v="C025"/>
    <x v="4"/>
    <n v="2"/>
    <n v="22684"/>
    <n v="2537.87"/>
    <x v="4"/>
    <n v="2024"/>
    <s v="Q4"/>
    <n v="11.187929818374185"/>
  </r>
  <r>
    <s v="O0329"/>
    <d v="2024-07-05T00:00:00"/>
    <s v="C039"/>
    <x v="8"/>
    <n v="4"/>
    <n v="96944"/>
    <n v="17868.98"/>
    <x v="6"/>
    <n v="2024"/>
    <s v="Q3"/>
    <n v="18.432270176596798"/>
  </r>
  <r>
    <s v="O0330"/>
    <d v="2024-12-03T00:00:00"/>
    <s v="C003"/>
    <x v="18"/>
    <n v="1"/>
    <n v="54384"/>
    <n v="12949.16"/>
    <x v="10"/>
    <n v="2024"/>
    <s v="Q4"/>
    <n v="23.810606060606059"/>
  </r>
  <r>
    <s v="O0331"/>
    <d v="2024-08-09T00:00:00"/>
    <s v="C081"/>
    <x v="8"/>
    <n v="5"/>
    <n v="121180"/>
    <n v="29310.240000000002"/>
    <x v="5"/>
    <n v="2024"/>
    <s v="Q3"/>
    <n v="24.187357649777191"/>
  </r>
  <r>
    <s v="O0332"/>
    <d v="2024-11-27T00:00:00"/>
    <s v="C091"/>
    <x v="8"/>
    <n v="3"/>
    <n v="72708"/>
    <n v="10005.450000000001"/>
    <x v="4"/>
    <n v="2024"/>
    <s v="Q4"/>
    <n v="13.76114045221984"/>
  </r>
  <r>
    <s v="O0333"/>
    <d v="2024-11-07T00:00:00"/>
    <s v="C054"/>
    <x v="14"/>
    <n v="5"/>
    <n v="35775"/>
    <n v="7753.09"/>
    <x v="4"/>
    <n v="2024"/>
    <s v="Q4"/>
    <n v="21.671809923130677"/>
  </r>
  <r>
    <s v="O0334"/>
    <d v="2024-11-03T00:00:00"/>
    <s v="C073"/>
    <x v="7"/>
    <n v="5"/>
    <n v="41810"/>
    <n v="9422.76"/>
    <x v="4"/>
    <n v="2024"/>
    <s v="Q4"/>
    <n v="22.537096388423823"/>
  </r>
  <r>
    <s v="O0335"/>
    <d v="2024-03-25T00:00:00"/>
    <s v="C088"/>
    <x v="8"/>
    <n v="4"/>
    <n v="96944"/>
    <n v="17705.16"/>
    <x v="9"/>
    <n v="2024"/>
    <s v="Q1"/>
    <n v="18.263286020795512"/>
  </r>
  <r>
    <s v="O0336"/>
    <d v="2024-07-21T00:00:00"/>
    <s v="C035"/>
    <x v="11"/>
    <n v="3"/>
    <n v="76824"/>
    <n v="13504.58"/>
    <x v="6"/>
    <n v="2024"/>
    <s v="Q3"/>
    <n v="17.578595230657086"/>
  </r>
  <r>
    <s v="O0337"/>
    <d v="2024-01-08T00:00:00"/>
    <s v="C078"/>
    <x v="7"/>
    <n v="3"/>
    <n v="25086"/>
    <n v="3096"/>
    <x v="8"/>
    <n v="2024"/>
    <s v="Q1"/>
    <n v="12.341545084907917"/>
  </r>
  <r>
    <s v="O0338"/>
    <d v="2024-07-01T00:00:00"/>
    <s v="C078"/>
    <x v="9"/>
    <n v="4"/>
    <n v="44624"/>
    <n v="7040.83"/>
    <x v="6"/>
    <n v="2024"/>
    <s v="Q3"/>
    <n v="15.778123879526712"/>
  </r>
  <r>
    <s v="O0339"/>
    <d v="2024-08-31T00:00:00"/>
    <s v="C030"/>
    <x v="11"/>
    <n v="4"/>
    <n v="102432"/>
    <n v="11836.54"/>
    <x v="5"/>
    <n v="2024"/>
    <s v="Q3"/>
    <n v="11.555509996875978"/>
  </r>
  <r>
    <s v="O0340"/>
    <d v="2024-01-28T00:00:00"/>
    <s v="C043"/>
    <x v="13"/>
    <n v="4"/>
    <n v="223800"/>
    <n v="50712.22"/>
    <x v="8"/>
    <n v="2024"/>
    <s v="Q1"/>
    <n v="22.659615728328866"/>
  </r>
  <r>
    <s v="O0341"/>
    <d v="2024-01-05T00:00:00"/>
    <s v="C083"/>
    <x v="6"/>
    <n v="3"/>
    <n v="75477"/>
    <n v="17220.849999999999"/>
    <x v="8"/>
    <n v="2024"/>
    <s v="Q1"/>
    <n v="22.816023424354437"/>
  </r>
  <r>
    <s v="O0342"/>
    <d v="2024-01-08T00:00:00"/>
    <s v="C033"/>
    <x v="7"/>
    <n v="1"/>
    <n v="8362"/>
    <n v="1104.58"/>
    <x v="8"/>
    <n v="2024"/>
    <s v="Q1"/>
    <n v="13.209519253767041"/>
  </r>
  <r>
    <s v="O0343"/>
    <d v="2024-01-26T00:00:00"/>
    <s v="C042"/>
    <x v="3"/>
    <n v="3"/>
    <n v="167085"/>
    <n v="30102.3"/>
    <x v="8"/>
    <n v="2024"/>
    <s v="Q1"/>
    <n v="18.016159439806088"/>
  </r>
  <r>
    <s v="O0344"/>
    <d v="2024-11-26T00:00:00"/>
    <s v="C027"/>
    <x v="5"/>
    <n v="3"/>
    <n v="25878"/>
    <n v="2597.65"/>
    <x v="4"/>
    <n v="2024"/>
    <s v="Q4"/>
    <n v="10.038063219723318"/>
  </r>
  <r>
    <s v="O0345"/>
    <d v="2024-11-07T00:00:00"/>
    <s v="C009"/>
    <x v="13"/>
    <n v="3"/>
    <n v="167850"/>
    <n v="40806.22"/>
    <x v="4"/>
    <n v="2024"/>
    <s v="Q4"/>
    <n v="24.311123026511765"/>
  </r>
  <r>
    <s v="O0346"/>
    <d v="2024-12-24T00:00:00"/>
    <s v="C044"/>
    <x v="0"/>
    <n v="1"/>
    <n v="9394"/>
    <n v="2288.44"/>
    <x v="10"/>
    <n v="2024"/>
    <s v="Q4"/>
    <n v="24.360655737704921"/>
  </r>
  <r>
    <s v="O0347"/>
    <d v="2024-11-24T00:00:00"/>
    <s v="C089"/>
    <x v="12"/>
    <n v="5"/>
    <n v="33735"/>
    <n v="6999.1"/>
    <x v="4"/>
    <n v="2024"/>
    <s v="Q4"/>
    <n v="20.747295094115906"/>
  </r>
  <r>
    <s v="O0348"/>
    <d v="2024-09-26T00:00:00"/>
    <s v="C047"/>
    <x v="16"/>
    <n v="3"/>
    <n v="18660"/>
    <n v="2691.94"/>
    <x v="11"/>
    <n v="2024"/>
    <s v="Q3"/>
    <n v="14.42625937834941"/>
  </r>
  <r>
    <s v="O0349"/>
    <d v="2024-04-28T00:00:00"/>
    <s v="C060"/>
    <x v="5"/>
    <n v="2"/>
    <n v="17252"/>
    <n v="2575.91"/>
    <x v="2"/>
    <n v="2024"/>
    <s v="Q2"/>
    <n v="14.931080454440062"/>
  </r>
  <r>
    <s v="O0350"/>
    <d v="2024-04-24T00:00:00"/>
    <s v="C078"/>
    <x v="9"/>
    <n v="5"/>
    <n v="55780"/>
    <n v="6745.42"/>
    <x v="2"/>
    <n v="2024"/>
    <s v="Q2"/>
    <n v="12.092900681247759"/>
  </r>
  <r>
    <s v="O0351"/>
    <d v="2024-03-18T00:00:00"/>
    <s v="C032"/>
    <x v="1"/>
    <n v="4"/>
    <n v="35492"/>
    <n v="4107.32"/>
    <x v="9"/>
    <n v="2024"/>
    <s v="Q1"/>
    <n v="11.572523385551673"/>
  </r>
  <r>
    <s v="O0352"/>
    <d v="2024-12-26T00:00:00"/>
    <s v="C093"/>
    <x v="16"/>
    <n v="3"/>
    <n v="18660"/>
    <n v="1497.44"/>
    <x v="10"/>
    <n v="2024"/>
    <s v="Q4"/>
    <n v="8.0248660235798503"/>
  </r>
  <r>
    <s v="O0353"/>
    <d v="2024-12-11T00:00:00"/>
    <s v="C088"/>
    <x v="16"/>
    <n v="4"/>
    <n v="24880"/>
    <n v="4096.3599999999997"/>
    <x v="10"/>
    <n v="2024"/>
    <s v="Q4"/>
    <n v="16.464469453376203"/>
  </r>
  <r>
    <s v="O0354"/>
    <d v="2024-06-24T00:00:00"/>
    <s v="C019"/>
    <x v="19"/>
    <n v="3"/>
    <n v="27303"/>
    <n v="4212.54"/>
    <x v="3"/>
    <n v="2024"/>
    <s v="Q2"/>
    <n v="15.428853972090979"/>
  </r>
  <r>
    <s v="O0355"/>
    <d v="2024-02-27T00:00:00"/>
    <s v="C066"/>
    <x v="18"/>
    <n v="3"/>
    <n v="163152"/>
    <n v="39097.660000000003"/>
    <x v="0"/>
    <n v="2024"/>
    <s v="Q1"/>
    <n v="23.963947729724431"/>
  </r>
  <r>
    <s v="O0356"/>
    <d v="2024-08-07T00:00:00"/>
    <s v="C075"/>
    <x v="16"/>
    <n v="5"/>
    <n v="31100"/>
    <n v="5991.54"/>
    <x v="5"/>
    <n v="2024"/>
    <s v="Q3"/>
    <n v="19.265401929260449"/>
  </r>
  <r>
    <s v="O0357"/>
    <d v="2024-02-28T00:00:00"/>
    <s v="C002"/>
    <x v="16"/>
    <n v="1"/>
    <n v="6220"/>
    <n v="1172.96"/>
    <x v="0"/>
    <n v="2024"/>
    <s v="Q1"/>
    <n v="18.857877813504821"/>
  </r>
  <r>
    <s v="O0358"/>
    <d v="2024-05-15T00:00:00"/>
    <s v="C065"/>
    <x v="0"/>
    <n v="5"/>
    <n v="46970"/>
    <n v="9729.56"/>
    <x v="1"/>
    <n v="2024"/>
    <s v="Q2"/>
    <n v="20.714413455397061"/>
  </r>
  <r>
    <s v="O0359"/>
    <d v="2024-11-01T00:00:00"/>
    <s v="C056"/>
    <x v="10"/>
    <n v="2"/>
    <n v="12050"/>
    <n v="1075.05"/>
    <x v="4"/>
    <n v="2024"/>
    <s v="Q4"/>
    <n v="8.9215767634854775"/>
  </r>
  <r>
    <s v="O0360"/>
    <d v="2024-05-29T00:00:00"/>
    <s v="C066"/>
    <x v="11"/>
    <n v="5"/>
    <n v="128040"/>
    <n v="13792.58"/>
    <x v="1"/>
    <n v="2024"/>
    <s v="Q2"/>
    <n v="10.772086847860043"/>
  </r>
  <r>
    <s v="O0361"/>
    <d v="2024-02-01T00:00:00"/>
    <s v="C007"/>
    <x v="5"/>
    <n v="2"/>
    <n v="17252"/>
    <n v="1389.46"/>
    <x v="0"/>
    <n v="2024"/>
    <s v="Q1"/>
    <n v="8.0539067934152566"/>
  </r>
  <r>
    <s v="O0362"/>
    <d v="2024-01-18T00:00:00"/>
    <s v="C055"/>
    <x v="19"/>
    <n v="1"/>
    <n v="9101"/>
    <n v="813.2"/>
    <x v="8"/>
    <n v="2024"/>
    <s v="Q1"/>
    <n v="8.935281837160753"/>
  </r>
  <r>
    <s v="O0363"/>
    <d v="2024-11-09T00:00:00"/>
    <s v="C069"/>
    <x v="3"/>
    <n v="3"/>
    <n v="167085"/>
    <n v="35668.53"/>
    <x v="4"/>
    <n v="2024"/>
    <s v="Q4"/>
    <n v="21.347535685429573"/>
  </r>
  <r>
    <s v="O0364"/>
    <d v="2024-05-16T00:00:00"/>
    <s v="C002"/>
    <x v="7"/>
    <n v="2"/>
    <n v="16724"/>
    <n v="2671.21"/>
    <x v="1"/>
    <n v="2024"/>
    <s v="Q2"/>
    <n v="15.972315235589571"/>
  </r>
  <r>
    <s v="O0365"/>
    <d v="2024-04-29T00:00:00"/>
    <s v="C038"/>
    <x v="8"/>
    <n v="5"/>
    <n v="121180"/>
    <n v="20437.95"/>
    <x v="2"/>
    <n v="2024"/>
    <s v="Q2"/>
    <n v="16.865778181218026"/>
  </r>
  <r>
    <s v="O0366"/>
    <d v="2024-05-02T00:00:00"/>
    <s v="C024"/>
    <x v="14"/>
    <n v="4"/>
    <n v="28620"/>
    <n v="6605.21"/>
    <x v="1"/>
    <n v="2024"/>
    <s v="Q2"/>
    <n v="23.07900069881202"/>
  </r>
  <r>
    <s v="O0367"/>
    <d v="2024-07-27T00:00:00"/>
    <s v="C072"/>
    <x v="15"/>
    <n v="1"/>
    <n v="11235"/>
    <n v="1531.77"/>
    <x v="6"/>
    <n v="2024"/>
    <s v="Q3"/>
    <n v="13.633911882510013"/>
  </r>
  <r>
    <s v="O0368"/>
    <d v="2024-11-23T00:00:00"/>
    <s v="C016"/>
    <x v="19"/>
    <n v="5"/>
    <n v="45505"/>
    <n v="5071.8999999999996"/>
    <x v="4"/>
    <n v="2024"/>
    <s v="Q4"/>
    <n v="11.145808152950226"/>
  </r>
  <r>
    <s v="O0369"/>
    <d v="2024-06-04T00:00:00"/>
    <s v="C012"/>
    <x v="12"/>
    <n v="2"/>
    <n v="13494"/>
    <n v="1595.42"/>
    <x v="3"/>
    <n v="2024"/>
    <s v="Q2"/>
    <n v="11.823180672891656"/>
  </r>
  <r>
    <s v="O0370"/>
    <d v="2024-03-15T00:00:00"/>
    <s v="C013"/>
    <x v="9"/>
    <n v="3"/>
    <n v="33468"/>
    <n v="7673.17"/>
    <x v="9"/>
    <n v="2024"/>
    <s v="Q1"/>
    <n v="22.926885383052468"/>
  </r>
  <r>
    <s v="O0371"/>
    <d v="2024-05-26T00:00:00"/>
    <s v="C009"/>
    <x v="15"/>
    <n v="2"/>
    <n v="22470"/>
    <n v="2679.76"/>
    <x v="1"/>
    <n v="2024"/>
    <s v="Q2"/>
    <n v="11.92594570538496"/>
  </r>
  <r>
    <s v="O0372"/>
    <d v="2024-04-12T00:00:00"/>
    <s v="C045"/>
    <x v="9"/>
    <n v="5"/>
    <n v="55780"/>
    <n v="5308.88"/>
    <x v="2"/>
    <n v="2024"/>
    <s v="Q2"/>
    <n v="9.5175331660093239"/>
  </r>
  <r>
    <s v="O0373"/>
    <d v="2024-01-28T00:00:00"/>
    <s v="C030"/>
    <x v="12"/>
    <n v="1"/>
    <n v="6747"/>
    <n v="605.65"/>
    <x v="8"/>
    <n v="2024"/>
    <s v="Q1"/>
    <n v="8.976582184674669"/>
  </r>
  <r>
    <s v="O0374"/>
    <d v="2024-04-22T00:00:00"/>
    <s v="C096"/>
    <x v="6"/>
    <n v="1"/>
    <n v="25159"/>
    <n v="6087.17"/>
    <x v="2"/>
    <n v="2024"/>
    <s v="Q2"/>
    <n v="24.194801065225167"/>
  </r>
  <r>
    <s v="O0375"/>
    <d v="2024-05-07T00:00:00"/>
    <s v="C037"/>
    <x v="2"/>
    <n v="5"/>
    <n v="274685"/>
    <n v="41720.120000000003"/>
    <x v="1"/>
    <n v="2024"/>
    <s v="Q2"/>
    <n v="15.18835029215283"/>
  </r>
  <r>
    <s v="O0376"/>
    <d v="2024-06-15T00:00:00"/>
    <s v="C093"/>
    <x v="9"/>
    <n v="3"/>
    <n v="33468"/>
    <n v="7029.74"/>
    <x v="3"/>
    <n v="2024"/>
    <s v="Q2"/>
    <n v="21.004362376000955"/>
  </r>
  <r>
    <s v="O0377"/>
    <d v="2024-12-03T00:00:00"/>
    <s v="C045"/>
    <x v="10"/>
    <n v="4"/>
    <n v="24100"/>
    <n v="5059.9399999999996"/>
    <x v="10"/>
    <n v="2024"/>
    <s v="Q4"/>
    <n v="20.995601659751038"/>
  </r>
  <r>
    <s v="O0378"/>
    <d v="2024-05-05T00:00:00"/>
    <s v="C079"/>
    <x v="1"/>
    <n v="4"/>
    <n v="35492"/>
    <n v="3378.64"/>
    <x v="1"/>
    <n v="2024"/>
    <s v="Q2"/>
    <n v="9.5194410007889108"/>
  </r>
  <r>
    <s v="O0379"/>
    <d v="2024-02-28T00:00:00"/>
    <s v="C063"/>
    <x v="3"/>
    <n v="2"/>
    <n v="111390"/>
    <n v="20366.27"/>
    <x v="0"/>
    <n v="2024"/>
    <s v="Q1"/>
    <n v="18.283750785528323"/>
  </r>
  <r>
    <s v="O0380"/>
    <d v="2024-09-29T00:00:00"/>
    <s v="C031"/>
    <x v="5"/>
    <n v="4"/>
    <n v="34504"/>
    <n v="7954.18"/>
    <x v="11"/>
    <n v="2024"/>
    <s v="Q3"/>
    <n v="23.052921400417343"/>
  </r>
  <r>
    <s v="O0381"/>
    <d v="2024-07-05T00:00:00"/>
    <s v="C039"/>
    <x v="3"/>
    <n v="3"/>
    <n v="167085"/>
    <n v="24991.51"/>
    <x v="6"/>
    <n v="2024"/>
    <s v="Q3"/>
    <n v="14.957363018822752"/>
  </r>
  <r>
    <s v="O0382"/>
    <d v="2024-09-18T00:00:00"/>
    <s v="C046"/>
    <x v="3"/>
    <n v="4"/>
    <n v="222780"/>
    <n v="54108.23"/>
    <x v="11"/>
    <n v="2024"/>
    <s v="Q3"/>
    <n v="24.287741269413772"/>
  </r>
  <r>
    <s v="O0383"/>
    <d v="2024-06-03T00:00:00"/>
    <s v="C003"/>
    <x v="10"/>
    <n v="2"/>
    <n v="12050"/>
    <n v="1583.52"/>
    <x v="3"/>
    <n v="2024"/>
    <s v="Q2"/>
    <n v="13.141244813278007"/>
  </r>
  <r>
    <s v="O0384"/>
    <d v="2024-03-17T00:00:00"/>
    <s v="C073"/>
    <x v="13"/>
    <n v="5"/>
    <n v="279750"/>
    <n v="56212.21"/>
    <x v="9"/>
    <n v="2024"/>
    <s v="Q1"/>
    <n v="20.093730116175156"/>
  </r>
  <r>
    <s v="O0385"/>
    <d v="2024-02-10T00:00:00"/>
    <s v="C022"/>
    <x v="15"/>
    <n v="2"/>
    <n v="22470"/>
    <n v="2314.02"/>
    <x v="0"/>
    <n v="2024"/>
    <s v="Q1"/>
    <n v="10.29826435246996"/>
  </r>
  <r>
    <s v="O0386"/>
    <d v="2024-06-10T00:00:00"/>
    <s v="C079"/>
    <x v="2"/>
    <n v="2"/>
    <n v="109874"/>
    <n v="15438.61"/>
    <x v="3"/>
    <n v="2024"/>
    <s v="Q2"/>
    <n v="14.051195005187761"/>
  </r>
  <r>
    <s v="O0387"/>
    <d v="2024-08-07T00:00:00"/>
    <s v="C022"/>
    <x v="2"/>
    <n v="4"/>
    <n v="219748"/>
    <n v="29150.86"/>
    <x v="5"/>
    <n v="2024"/>
    <s v="Q3"/>
    <n v="13.265586034912719"/>
  </r>
  <r>
    <s v="O0388"/>
    <d v="2024-02-25T00:00:00"/>
    <s v="C020"/>
    <x v="7"/>
    <n v="3"/>
    <n v="25086"/>
    <n v="5786.82"/>
    <x v="0"/>
    <n v="2024"/>
    <s v="Q1"/>
    <n v="23.067926333413059"/>
  </r>
  <r>
    <s v="O0389"/>
    <d v="2024-09-02T00:00:00"/>
    <s v="C020"/>
    <x v="3"/>
    <n v="1"/>
    <n v="55695"/>
    <n v="10942.3"/>
    <x v="11"/>
    <n v="2024"/>
    <s v="Q3"/>
    <n v="19.646826465571415"/>
  </r>
  <r>
    <s v="O0390"/>
    <d v="2024-04-08T00:00:00"/>
    <s v="C069"/>
    <x v="9"/>
    <n v="1"/>
    <n v="11156"/>
    <n v="2269.63"/>
    <x v="2"/>
    <n v="2024"/>
    <s v="Q2"/>
    <n v="20.344478307637146"/>
  </r>
  <r>
    <s v="O0391"/>
    <d v="2024-06-30T00:00:00"/>
    <s v="C084"/>
    <x v="10"/>
    <n v="3"/>
    <n v="18075"/>
    <n v="3006.18"/>
    <x v="3"/>
    <n v="2024"/>
    <s v="Q2"/>
    <n v="16.631701244813275"/>
  </r>
  <r>
    <s v="O0392"/>
    <d v="2024-04-04T00:00:00"/>
    <s v="C065"/>
    <x v="10"/>
    <n v="3"/>
    <n v="18075"/>
    <n v="3456.16"/>
    <x v="2"/>
    <n v="2024"/>
    <s v="Q2"/>
    <n v="19.121217150760721"/>
  </r>
  <r>
    <s v="O0393"/>
    <d v="2024-12-30T00:00:00"/>
    <s v="C049"/>
    <x v="9"/>
    <n v="3"/>
    <n v="33468"/>
    <n v="7714.13"/>
    <x v="10"/>
    <n v="2024"/>
    <s v="Q4"/>
    <n v="23.049270945380663"/>
  </r>
  <r>
    <s v="O0394"/>
    <d v="2024-06-04T00:00:00"/>
    <s v="C027"/>
    <x v="9"/>
    <n v="2"/>
    <n v="22312"/>
    <n v="4962.55"/>
    <x v="3"/>
    <n v="2024"/>
    <s v="Q2"/>
    <n v="22.241618859806383"/>
  </r>
  <r>
    <s v="O0395"/>
    <d v="2024-01-26T00:00:00"/>
    <s v="C042"/>
    <x v="8"/>
    <n v="4"/>
    <n v="96944"/>
    <n v="11782.39"/>
    <x v="8"/>
    <n v="2024"/>
    <s v="Q1"/>
    <n v="12.153810447268526"/>
  </r>
  <r>
    <s v="O0396"/>
    <d v="2024-02-19T00:00:00"/>
    <s v="C030"/>
    <x v="16"/>
    <n v="5"/>
    <n v="31100"/>
    <n v="2524.09"/>
    <x v="0"/>
    <n v="2024"/>
    <s v="Q1"/>
    <n v="8.1160450160771713"/>
  </r>
  <r>
    <s v="O0397"/>
    <d v="2024-05-16T00:00:00"/>
    <s v="C018"/>
    <x v="0"/>
    <n v="3"/>
    <n v="28182"/>
    <n v="4679.53"/>
    <x v="1"/>
    <n v="2024"/>
    <s v="Q2"/>
    <n v="16.604676744021006"/>
  </r>
  <r>
    <s v="O0398"/>
    <d v="2024-10-20T00:00:00"/>
    <s v="C019"/>
    <x v="12"/>
    <n v="2"/>
    <n v="13494"/>
    <n v="1252.48"/>
    <x v="7"/>
    <n v="2024"/>
    <s v="Q4"/>
    <n v="9.2817548540091881"/>
  </r>
  <r>
    <s v="O0399"/>
    <d v="2024-10-04T00:00:00"/>
    <s v="C066"/>
    <x v="11"/>
    <n v="5"/>
    <n v="128040"/>
    <n v="23309.1"/>
    <x v="7"/>
    <n v="2024"/>
    <s v="Q4"/>
    <n v="18.204545454545453"/>
  </r>
  <r>
    <s v="O0400"/>
    <d v="2024-04-03T00:00:00"/>
    <s v="C056"/>
    <x v="15"/>
    <n v="5"/>
    <n v="56175"/>
    <n v="9381.08"/>
    <x v="2"/>
    <n v="2024"/>
    <s v="Q2"/>
    <n v="16.699741878059633"/>
  </r>
  <r>
    <s v="O0401"/>
    <d v="2024-02-07T00:00:00"/>
    <s v="C066"/>
    <x v="10"/>
    <n v="2"/>
    <n v="12050"/>
    <n v="1851.21"/>
    <x v="0"/>
    <n v="2024"/>
    <s v="Q1"/>
    <n v="15.362738589211618"/>
  </r>
  <r>
    <s v="O0402"/>
    <d v="2024-03-09T00:00:00"/>
    <s v="C036"/>
    <x v="14"/>
    <n v="2"/>
    <n v="14310"/>
    <n v="3000.94"/>
    <x v="9"/>
    <n v="2024"/>
    <s v="Q1"/>
    <n v="20.970929419986025"/>
  </r>
  <r>
    <s v="O0403"/>
    <d v="2024-07-04T00:00:00"/>
    <s v="C099"/>
    <x v="14"/>
    <n v="1"/>
    <n v="7155"/>
    <n v="771.39"/>
    <x v="6"/>
    <n v="2024"/>
    <s v="Q3"/>
    <n v="10.781132075471698"/>
  </r>
  <r>
    <s v="O0404"/>
    <d v="2024-05-01T00:00:00"/>
    <s v="C024"/>
    <x v="9"/>
    <n v="3"/>
    <n v="33468"/>
    <n v="3146.6"/>
    <x v="1"/>
    <n v="2024"/>
    <s v="Q2"/>
    <n v="9.4018166606908089"/>
  </r>
  <r>
    <s v="O0405"/>
    <d v="2024-12-01T00:00:00"/>
    <s v="C087"/>
    <x v="14"/>
    <n v="1"/>
    <n v="7155"/>
    <n v="1109.1199999999999"/>
    <x v="10"/>
    <n v="2024"/>
    <s v="Q4"/>
    <n v="15.501327742837177"/>
  </r>
  <r>
    <s v="O0406"/>
    <d v="2024-12-19T00:00:00"/>
    <s v="C026"/>
    <x v="4"/>
    <n v="3"/>
    <n v="34026"/>
    <n v="3676.53"/>
    <x v="10"/>
    <n v="2024"/>
    <s v="Q4"/>
    <n v="10.805060835831423"/>
  </r>
  <r>
    <s v="O0407"/>
    <d v="2024-09-02T00:00:00"/>
    <s v="C086"/>
    <x v="19"/>
    <n v="2"/>
    <n v="18202"/>
    <n v="2434.25"/>
    <x v="11"/>
    <n v="2024"/>
    <s v="Q3"/>
    <n v="13.373530381276783"/>
  </r>
  <r>
    <s v="O0408"/>
    <d v="2024-09-12T00:00:00"/>
    <s v="C071"/>
    <x v="9"/>
    <n v="1"/>
    <n v="11156"/>
    <n v="2510.7199999999998"/>
    <x v="11"/>
    <n v="2024"/>
    <s v="Q3"/>
    <n v="22.505557547508065"/>
  </r>
  <r>
    <s v="O0409"/>
    <d v="2024-09-18T00:00:00"/>
    <s v="C072"/>
    <x v="10"/>
    <n v="2"/>
    <n v="12050"/>
    <n v="1964.06"/>
    <x v="11"/>
    <n v="2024"/>
    <s v="Q3"/>
    <n v="16.299253112033192"/>
  </r>
  <r>
    <s v="O0410"/>
    <d v="2024-10-20T00:00:00"/>
    <s v="C041"/>
    <x v="8"/>
    <n v="3"/>
    <n v="72708"/>
    <n v="13295.95"/>
    <x v="7"/>
    <n v="2024"/>
    <s v="Q4"/>
    <n v="18.286777245970185"/>
  </r>
  <r>
    <s v="O0411"/>
    <d v="2024-02-06T00:00:00"/>
    <s v="C012"/>
    <x v="18"/>
    <n v="3"/>
    <n v="163152"/>
    <n v="24577.66"/>
    <x v="0"/>
    <n v="2024"/>
    <s v="Q1"/>
    <n v="15.064271354319898"/>
  </r>
  <r>
    <s v="O0412"/>
    <d v="2024-04-02T00:00:00"/>
    <s v="C034"/>
    <x v="5"/>
    <n v="3"/>
    <n v="25878"/>
    <n v="2154.04"/>
    <x v="2"/>
    <n v="2024"/>
    <s v="Q2"/>
    <n v="8.3238271891181697"/>
  </r>
  <r>
    <s v="O0413"/>
    <d v="2024-05-09T00:00:00"/>
    <s v="C042"/>
    <x v="0"/>
    <n v="3"/>
    <n v="28182"/>
    <n v="3512.17"/>
    <x v="1"/>
    <n v="2024"/>
    <s v="Q2"/>
    <n v="12.462458306720601"/>
  </r>
  <r>
    <s v="O0414"/>
    <d v="2024-05-30T00:00:00"/>
    <s v="C040"/>
    <x v="18"/>
    <n v="4"/>
    <n v="217536"/>
    <n v="52564.800000000003"/>
    <x v="1"/>
    <n v="2024"/>
    <s v="Q2"/>
    <n v="24.163724624889674"/>
  </r>
  <r>
    <s v="O0415"/>
    <d v="2024-08-08T00:00:00"/>
    <s v="C021"/>
    <x v="16"/>
    <n v="1"/>
    <n v="6220"/>
    <n v="620.04999999999995"/>
    <x v="5"/>
    <n v="2024"/>
    <s v="Q3"/>
    <n v="9.9686495176848862"/>
  </r>
  <r>
    <s v="O0416"/>
    <d v="2024-11-30T00:00:00"/>
    <s v="C079"/>
    <x v="14"/>
    <n v="3"/>
    <n v="21465"/>
    <n v="3017.95"/>
    <x v="4"/>
    <n v="2024"/>
    <s v="Q4"/>
    <n v="14.059864896342884"/>
  </r>
  <r>
    <s v="O0417"/>
    <d v="2024-11-07T00:00:00"/>
    <s v="C093"/>
    <x v="8"/>
    <n v="4"/>
    <n v="96944"/>
    <n v="17248.8"/>
    <x v="4"/>
    <n v="2024"/>
    <s v="Q4"/>
    <n v="17.792540023106124"/>
  </r>
  <r>
    <s v="O0418"/>
    <d v="2024-02-18T00:00:00"/>
    <s v="C033"/>
    <x v="12"/>
    <n v="3"/>
    <n v="20241"/>
    <n v="2110.71"/>
    <x v="0"/>
    <n v="2024"/>
    <s v="Q1"/>
    <n v="10.427893878760932"/>
  </r>
  <r>
    <s v="O0419"/>
    <d v="2024-12-22T00:00:00"/>
    <s v="C051"/>
    <x v="10"/>
    <n v="5"/>
    <n v="30125"/>
    <n v="6222.59"/>
    <x v="10"/>
    <n v="2024"/>
    <s v="Q4"/>
    <n v="20.655900414937761"/>
  </r>
  <r>
    <s v="O0420"/>
    <d v="2024-09-03T00:00:00"/>
    <s v="C025"/>
    <x v="1"/>
    <n v="4"/>
    <n v="35492"/>
    <n v="3744.7"/>
    <x v="11"/>
    <n v="2024"/>
    <s v="Q3"/>
    <n v="10.550828355685788"/>
  </r>
  <r>
    <s v="O0421"/>
    <d v="2024-05-06T00:00:00"/>
    <s v="C090"/>
    <x v="0"/>
    <n v="1"/>
    <n v="9394"/>
    <n v="1918"/>
    <x v="1"/>
    <n v="2024"/>
    <s v="Q2"/>
    <n v="20.417287630402384"/>
  </r>
  <r>
    <s v="O0422"/>
    <d v="2024-08-29T00:00:00"/>
    <s v="C011"/>
    <x v="5"/>
    <n v="1"/>
    <n v="8626"/>
    <n v="1451.67"/>
    <x v="5"/>
    <n v="2024"/>
    <s v="Q3"/>
    <n v="16.829005332715049"/>
  </r>
  <r>
    <s v="O0423"/>
    <d v="2024-03-28T00:00:00"/>
    <s v="C073"/>
    <x v="18"/>
    <n v="3"/>
    <n v="163152"/>
    <n v="38486.769999999997"/>
    <x v="9"/>
    <n v="2024"/>
    <s v="Q1"/>
    <n v="23.58951775031872"/>
  </r>
  <r>
    <s v="O0424"/>
    <d v="2024-10-09T00:00:00"/>
    <s v="C073"/>
    <x v="18"/>
    <n v="4"/>
    <n v="217536"/>
    <n v="17892"/>
    <x v="7"/>
    <n v="2024"/>
    <s v="Q4"/>
    <n v="8.2248455428067082"/>
  </r>
  <r>
    <s v="O0425"/>
    <d v="2024-10-28T00:00:00"/>
    <s v="C093"/>
    <x v="7"/>
    <n v="4"/>
    <n v="33448"/>
    <n v="3616.32"/>
    <x v="7"/>
    <n v="2024"/>
    <s v="Q4"/>
    <n v="10.811767519732122"/>
  </r>
  <r>
    <s v="O0426"/>
    <d v="2024-08-12T00:00:00"/>
    <s v="C048"/>
    <x v="9"/>
    <n v="3"/>
    <n v="33468"/>
    <n v="7352.03"/>
    <x v="5"/>
    <n v="2024"/>
    <s v="Q3"/>
    <n v="21.967341938568183"/>
  </r>
  <r>
    <s v="O0427"/>
    <d v="2024-08-14T00:00:00"/>
    <s v="C031"/>
    <x v="7"/>
    <n v="3"/>
    <n v="25086"/>
    <n v="5637.45"/>
    <x v="5"/>
    <n v="2024"/>
    <s v="Q3"/>
    <n v="22.472494618512318"/>
  </r>
  <r>
    <s v="O0428"/>
    <d v="2024-08-14T00:00:00"/>
    <s v="C098"/>
    <x v="10"/>
    <n v="2"/>
    <n v="12050"/>
    <n v="1294.58"/>
    <x v="5"/>
    <n v="2024"/>
    <s v="Q3"/>
    <n v="10.743402489626556"/>
  </r>
  <r>
    <s v="O0429"/>
    <d v="2024-03-29T00:00:00"/>
    <s v="C006"/>
    <x v="10"/>
    <n v="5"/>
    <n v="30125"/>
    <n v="4136.8900000000003"/>
    <x v="9"/>
    <n v="2024"/>
    <s v="Q1"/>
    <n v="13.732414937759337"/>
  </r>
  <r>
    <s v="O0430"/>
    <d v="2024-04-29T00:00:00"/>
    <s v="C073"/>
    <x v="18"/>
    <n v="4"/>
    <n v="217536"/>
    <n v="17712.68"/>
    <x v="2"/>
    <n v="2024"/>
    <s v="Q2"/>
    <n v="8.1424132097675788"/>
  </r>
  <r>
    <s v="O0431"/>
    <d v="2024-09-17T00:00:00"/>
    <s v="C079"/>
    <x v="9"/>
    <n v="4"/>
    <n v="44624"/>
    <n v="8534.48"/>
    <x v="11"/>
    <n v="2024"/>
    <s v="Q3"/>
    <n v="19.125313732520617"/>
  </r>
  <r>
    <s v="O0432"/>
    <d v="2024-05-14T00:00:00"/>
    <s v="C027"/>
    <x v="1"/>
    <n v="4"/>
    <n v="35492"/>
    <n v="3583.56"/>
    <x v="1"/>
    <n v="2024"/>
    <s v="Q2"/>
    <n v="10.09681054885608"/>
  </r>
  <r>
    <s v="O0433"/>
    <d v="2024-11-12T00:00:00"/>
    <s v="C018"/>
    <x v="12"/>
    <n v="3"/>
    <n v="20241"/>
    <n v="2072.25"/>
    <x v="4"/>
    <n v="2024"/>
    <s v="Q4"/>
    <n v="10.237883503779457"/>
  </r>
  <r>
    <s v="O0434"/>
    <d v="2024-08-06T00:00:00"/>
    <s v="C068"/>
    <x v="16"/>
    <n v="2"/>
    <n v="12440"/>
    <n v="2167.62"/>
    <x v="5"/>
    <n v="2024"/>
    <s v="Q3"/>
    <n v="17.424598070739549"/>
  </r>
  <r>
    <s v="O0435"/>
    <d v="2024-03-27T00:00:00"/>
    <s v="C060"/>
    <x v="15"/>
    <n v="5"/>
    <n v="56175"/>
    <n v="9766.65"/>
    <x v="9"/>
    <n v="2024"/>
    <s v="Q1"/>
    <n v="17.38611481975968"/>
  </r>
  <r>
    <s v="O0436"/>
    <d v="2024-10-30T00:00:00"/>
    <s v="C067"/>
    <x v="4"/>
    <n v="5"/>
    <n v="56710"/>
    <n v="13745.3"/>
    <x v="7"/>
    <n v="2024"/>
    <s v="Q4"/>
    <n v="24.237876917651207"/>
  </r>
  <r>
    <s v="O0437"/>
    <d v="2024-06-23T00:00:00"/>
    <s v="C027"/>
    <x v="16"/>
    <n v="2"/>
    <n v="12440"/>
    <n v="2437.96"/>
    <x v="3"/>
    <n v="2024"/>
    <s v="Q2"/>
    <n v="19.597749196141478"/>
  </r>
  <r>
    <s v="O0438"/>
    <d v="2024-09-19T00:00:00"/>
    <s v="C016"/>
    <x v="17"/>
    <n v="4"/>
    <n v="216748"/>
    <n v="43619.79"/>
    <x v="11"/>
    <n v="2024"/>
    <s v="Q3"/>
    <n v="20.124656282872273"/>
  </r>
  <r>
    <s v="O0439"/>
    <d v="2024-08-18T00:00:00"/>
    <s v="C095"/>
    <x v="12"/>
    <n v="5"/>
    <n v="33735"/>
    <n v="7788.28"/>
    <x v="5"/>
    <n v="2024"/>
    <s v="Q3"/>
    <n v="23.08664591670372"/>
  </r>
  <r>
    <s v="O0440"/>
    <d v="2024-01-28T00:00:00"/>
    <s v="C069"/>
    <x v="15"/>
    <n v="3"/>
    <n v="33705"/>
    <n v="7482.56"/>
    <x v="8"/>
    <n v="2024"/>
    <s v="Q1"/>
    <n v="22.20014834594274"/>
  </r>
  <r>
    <s v="O0441"/>
    <d v="2024-03-11T00:00:00"/>
    <s v="C011"/>
    <x v="6"/>
    <n v="1"/>
    <n v="25159"/>
    <n v="4314.8"/>
    <x v="9"/>
    <n v="2024"/>
    <s v="Q1"/>
    <n v="17.150125203704441"/>
  </r>
  <r>
    <s v="O0442"/>
    <d v="2024-09-24T00:00:00"/>
    <s v="C057"/>
    <x v="1"/>
    <n v="2"/>
    <n v="17746"/>
    <n v="2852.76"/>
    <x v="11"/>
    <n v="2024"/>
    <s v="Q3"/>
    <n v="16.075509974078667"/>
  </r>
  <r>
    <s v="O0443"/>
    <d v="2024-10-29T00:00:00"/>
    <s v="C076"/>
    <x v="9"/>
    <n v="5"/>
    <n v="55780"/>
    <n v="6301.25"/>
    <x v="7"/>
    <n v="2024"/>
    <s v="Q4"/>
    <n v="11.29661168877734"/>
  </r>
  <r>
    <s v="O0444"/>
    <d v="2024-06-27T00:00:00"/>
    <s v="C058"/>
    <x v="18"/>
    <n v="4"/>
    <n v="217536"/>
    <n v="28154.41"/>
    <x v="3"/>
    <n v="2024"/>
    <s v="Q2"/>
    <n v="12.942414129155633"/>
  </r>
  <r>
    <s v="O0445"/>
    <d v="2024-01-15T00:00:00"/>
    <s v="C100"/>
    <x v="12"/>
    <n v="5"/>
    <n v="33735"/>
    <n v="4266.07"/>
    <x v="8"/>
    <n v="2024"/>
    <s v="Q1"/>
    <n v="12.645827775307545"/>
  </r>
  <r>
    <s v="O0446"/>
    <d v="2024-10-08T00:00:00"/>
    <s v="C072"/>
    <x v="9"/>
    <n v="1"/>
    <n v="11156"/>
    <n v="2742.36"/>
    <x v="7"/>
    <n v="2024"/>
    <s v="Q4"/>
    <n v="24.581929006812477"/>
  </r>
  <r>
    <s v="O0447"/>
    <d v="2024-02-22T00:00:00"/>
    <s v="C030"/>
    <x v="15"/>
    <n v="3"/>
    <n v="33705"/>
    <n v="5226.6899999999996"/>
    <x v="0"/>
    <n v="2024"/>
    <s v="Q1"/>
    <n v="15.507165109034265"/>
  </r>
  <r>
    <s v="O0448"/>
    <d v="2024-07-28T00:00:00"/>
    <s v="C050"/>
    <x v="9"/>
    <n v="4"/>
    <n v="44624"/>
    <n v="5680.36"/>
    <x v="6"/>
    <n v="2024"/>
    <s v="Q3"/>
    <n v="12.72938329150233"/>
  </r>
  <r>
    <s v="O0449"/>
    <d v="2024-07-24T00:00:00"/>
    <s v="C060"/>
    <x v="3"/>
    <n v="5"/>
    <n v="278475"/>
    <n v="26824.080000000002"/>
    <x v="6"/>
    <n v="2024"/>
    <s v="Q3"/>
    <n v="9.6324912469701047"/>
  </r>
  <r>
    <s v="O0450"/>
    <d v="2024-09-01T00:00:00"/>
    <s v="C070"/>
    <x v="17"/>
    <n v="5"/>
    <n v="270935"/>
    <n v="55802.239999999998"/>
    <x v="11"/>
    <n v="2024"/>
    <s v="Q3"/>
    <n v="20.596172513702548"/>
  </r>
  <r>
    <s v="O0451"/>
    <d v="2024-03-11T00:00:00"/>
    <s v="C065"/>
    <x v="13"/>
    <n v="3"/>
    <n v="167850"/>
    <n v="17592.75"/>
    <x v="9"/>
    <n v="2024"/>
    <s v="Q1"/>
    <n v="10.481233243967829"/>
  </r>
  <r>
    <s v="O0452"/>
    <d v="2024-04-20T00:00:00"/>
    <s v="C079"/>
    <x v="14"/>
    <n v="2"/>
    <n v="14310"/>
    <n v="3059.52"/>
    <x v="2"/>
    <n v="2024"/>
    <s v="Q2"/>
    <n v="21.380293501048218"/>
  </r>
  <r>
    <s v="O0453"/>
    <d v="2024-08-05T00:00:00"/>
    <s v="C059"/>
    <x v="13"/>
    <n v="1"/>
    <n v="55950"/>
    <n v="11126.08"/>
    <x v="5"/>
    <n v="2024"/>
    <s v="Q3"/>
    <n v="19.885755138516533"/>
  </r>
  <r>
    <s v="O0454"/>
    <d v="2024-10-13T00:00:00"/>
    <s v="C007"/>
    <x v="15"/>
    <n v="2"/>
    <n v="22470"/>
    <n v="5576.85"/>
    <x v="7"/>
    <n v="2024"/>
    <s v="Q4"/>
    <n v="24.81909212283044"/>
  </r>
  <r>
    <s v="O0455"/>
    <d v="2024-09-06T00:00:00"/>
    <s v="C042"/>
    <x v="2"/>
    <n v="4"/>
    <n v="219748"/>
    <n v="18108.919999999998"/>
    <x v="11"/>
    <n v="2024"/>
    <s v="Q3"/>
    <n v="8.2407666963976922"/>
  </r>
  <r>
    <s v="O0456"/>
    <d v="2024-06-04T00:00:00"/>
    <s v="C092"/>
    <x v="15"/>
    <n v="3"/>
    <n v="33705"/>
    <n v="6941.06"/>
    <x v="3"/>
    <n v="2024"/>
    <s v="Q2"/>
    <n v="20.59356178608515"/>
  </r>
  <r>
    <s v="O0457"/>
    <d v="2024-05-28T00:00:00"/>
    <s v="C083"/>
    <x v="8"/>
    <n v="4"/>
    <n v="96944"/>
    <n v="12916.32"/>
    <x v="1"/>
    <n v="2024"/>
    <s v="Q2"/>
    <n v="13.323485723716786"/>
  </r>
  <r>
    <s v="O0458"/>
    <d v="2024-03-19T00:00:00"/>
    <s v="C023"/>
    <x v="6"/>
    <n v="4"/>
    <n v="100636"/>
    <n v="11125.51"/>
    <x v="9"/>
    <n v="2024"/>
    <s v="Q1"/>
    <n v="11.055198934774833"/>
  </r>
  <r>
    <s v="O0459"/>
    <d v="2024-06-12T00:00:00"/>
    <s v="C059"/>
    <x v="6"/>
    <n v="5"/>
    <n v="125795"/>
    <n v="12702.21"/>
    <x v="3"/>
    <n v="2024"/>
    <s v="Q2"/>
    <n v="10.097547597281292"/>
  </r>
  <r>
    <s v="O0460"/>
    <d v="2024-06-23T00:00:00"/>
    <s v="C041"/>
    <x v="18"/>
    <n v="5"/>
    <n v="271920"/>
    <n v="64967.6"/>
    <x v="3"/>
    <n v="2024"/>
    <s v="Q2"/>
    <n v="23.892174168873197"/>
  </r>
  <r>
    <s v="O0461"/>
    <d v="2024-08-24T00:00:00"/>
    <s v="C093"/>
    <x v="8"/>
    <n v="3"/>
    <n v="72708"/>
    <n v="12767.66"/>
    <x v="5"/>
    <n v="2024"/>
    <s v="Q3"/>
    <n v="17.560185949276558"/>
  </r>
  <r>
    <s v="O0462"/>
    <d v="2024-04-21T00:00:00"/>
    <s v="C042"/>
    <x v="18"/>
    <n v="4"/>
    <n v="217536"/>
    <n v="47865.89"/>
    <x v="2"/>
    <n v="2024"/>
    <s v="Q2"/>
    <n v="22.003663761400411"/>
  </r>
  <r>
    <s v="O0463"/>
    <d v="2024-10-31T00:00:00"/>
    <s v="C022"/>
    <x v="0"/>
    <n v="5"/>
    <n v="46970"/>
    <n v="5355.86"/>
    <x v="7"/>
    <n v="2024"/>
    <s v="Q4"/>
    <n v="11.40272514370875"/>
  </r>
  <r>
    <s v="O0464"/>
    <d v="2024-02-01T00:00:00"/>
    <s v="C032"/>
    <x v="9"/>
    <n v="3"/>
    <n v="33468"/>
    <n v="7828.2"/>
    <x v="0"/>
    <n v="2024"/>
    <s v="Q1"/>
    <n v="23.390103979921118"/>
  </r>
  <r>
    <s v="O0465"/>
    <d v="2024-07-04T00:00:00"/>
    <s v="C043"/>
    <x v="17"/>
    <n v="1"/>
    <n v="54187"/>
    <n v="7506.42"/>
    <x v="6"/>
    <n v="2024"/>
    <s v="Q3"/>
    <n v="13.852806023584993"/>
  </r>
  <r>
    <s v="O0466"/>
    <d v="2024-05-27T00:00:00"/>
    <s v="C077"/>
    <x v="4"/>
    <n v="4"/>
    <n v="45368"/>
    <n v="5242.2"/>
    <x v="1"/>
    <n v="2024"/>
    <s v="Q2"/>
    <n v="11.554840416152354"/>
  </r>
  <r>
    <s v="O0467"/>
    <d v="2024-07-15T00:00:00"/>
    <s v="C029"/>
    <x v="3"/>
    <n v="4"/>
    <n v="222780"/>
    <n v="55523.29"/>
    <x v="6"/>
    <n v="2024"/>
    <s v="Q3"/>
    <n v="24.922923960858245"/>
  </r>
  <r>
    <s v="O0468"/>
    <d v="2024-06-28T00:00:00"/>
    <s v="C086"/>
    <x v="12"/>
    <n v="1"/>
    <n v="6747"/>
    <n v="985.59"/>
    <x v="3"/>
    <n v="2024"/>
    <s v="Q2"/>
    <n v="14.607825700311249"/>
  </r>
  <r>
    <s v="O0469"/>
    <d v="2024-11-09T00:00:00"/>
    <s v="C078"/>
    <x v="4"/>
    <n v="2"/>
    <n v="22684"/>
    <n v="2716.72"/>
    <x v="4"/>
    <n v="2024"/>
    <s v="Q4"/>
    <n v="11.976371010403808"/>
  </r>
  <r>
    <s v="O0470"/>
    <d v="2024-05-30T00:00:00"/>
    <s v="C041"/>
    <x v="1"/>
    <n v="2"/>
    <n v="17746"/>
    <n v="3563.89"/>
    <x v="1"/>
    <n v="2024"/>
    <s v="Q2"/>
    <n v="20.082779217851908"/>
  </r>
  <r>
    <s v="O0471"/>
    <d v="2024-02-17T00:00:00"/>
    <s v="C013"/>
    <x v="17"/>
    <n v="1"/>
    <n v="54187"/>
    <n v="11780.77"/>
    <x v="0"/>
    <n v="2024"/>
    <s v="Q1"/>
    <n v="21.740952627013861"/>
  </r>
  <r>
    <s v="O0472"/>
    <d v="2024-04-01T00:00:00"/>
    <s v="C053"/>
    <x v="13"/>
    <n v="1"/>
    <n v="55950"/>
    <n v="9551.4699999999993"/>
    <x v="2"/>
    <n v="2024"/>
    <s v="Q2"/>
    <n v="17.07143878462913"/>
  </r>
  <r>
    <s v="O0473"/>
    <d v="2024-06-15T00:00:00"/>
    <s v="C097"/>
    <x v="3"/>
    <n v="2"/>
    <n v="111390"/>
    <n v="16023.49"/>
    <x v="3"/>
    <n v="2024"/>
    <s v="Q2"/>
    <n v="14.385034563246252"/>
  </r>
  <r>
    <s v="O0474"/>
    <d v="2024-04-16T00:00:00"/>
    <s v="C070"/>
    <x v="11"/>
    <n v="3"/>
    <n v="76824"/>
    <n v="18451.22"/>
    <x v="2"/>
    <n v="2024"/>
    <s v="Q2"/>
    <n v="24.01752056648964"/>
  </r>
  <r>
    <s v="O0475"/>
    <d v="2024-03-23T00:00:00"/>
    <s v="C025"/>
    <x v="12"/>
    <n v="2"/>
    <n v="13494"/>
    <n v="3304.75"/>
    <x v="9"/>
    <n v="2024"/>
    <s v="Q1"/>
    <n v="24.490514302653029"/>
  </r>
  <r>
    <s v="O0476"/>
    <d v="2024-03-07T00:00:00"/>
    <s v="C019"/>
    <x v="6"/>
    <n v="4"/>
    <n v="100636"/>
    <n v="18058.28"/>
    <x v="9"/>
    <n v="2024"/>
    <s v="Q1"/>
    <n v="17.944155173099087"/>
  </r>
  <r>
    <s v="O0477"/>
    <d v="2024-12-25T00:00:00"/>
    <s v="C056"/>
    <x v="13"/>
    <n v="3"/>
    <n v="167850"/>
    <n v="30739.87"/>
    <x v="10"/>
    <n v="2024"/>
    <s v="Q4"/>
    <n v="18.313893357164133"/>
  </r>
  <r>
    <s v="O0478"/>
    <d v="2024-07-02T00:00:00"/>
    <s v="C088"/>
    <x v="3"/>
    <n v="5"/>
    <n v="278475"/>
    <n v="28767.86"/>
    <x v="6"/>
    <n v="2024"/>
    <s v="Q3"/>
    <n v="10.330500044887334"/>
  </r>
  <r>
    <s v="O0479"/>
    <d v="2024-09-11T00:00:00"/>
    <s v="C100"/>
    <x v="12"/>
    <n v="2"/>
    <n v="13494"/>
    <n v="1618.65"/>
    <x v="11"/>
    <n v="2024"/>
    <s v="Q3"/>
    <n v="11.995331258337041"/>
  </r>
  <r>
    <s v="O0480"/>
    <d v="2024-02-15T00:00:00"/>
    <s v="C076"/>
    <x v="18"/>
    <n v="1"/>
    <n v="54384"/>
    <n v="12880.53"/>
    <x v="0"/>
    <n v="2024"/>
    <s v="Q1"/>
    <n v="23.684410856134157"/>
  </r>
  <r>
    <s v="O0481"/>
    <d v="2024-03-14T00:00:00"/>
    <s v="C018"/>
    <x v="7"/>
    <n v="4"/>
    <n v="33448"/>
    <n v="5887.44"/>
    <x v="9"/>
    <n v="2024"/>
    <s v="Q1"/>
    <n v="17.601769911504423"/>
  </r>
  <r>
    <s v="O0482"/>
    <d v="2024-06-27T00:00:00"/>
    <s v="C027"/>
    <x v="10"/>
    <n v="2"/>
    <n v="12050"/>
    <n v="1537.68"/>
    <x v="3"/>
    <n v="2024"/>
    <s v="Q2"/>
    <n v="12.760829875518672"/>
  </r>
  <r>
    <s v="O0483"/>
    <d v="2024-08-24T00:00:00"/>
    <s v="C009"/>
    <x v="1"/>
    <n v="4"/>
    <n v="35492"/>
    <n v="3019.34"/>
    <x v="5"/>
    <n v="2024"/>
    <s v="Q3"/>
    <n v="8.5071001915924711"/>
  </r>
  <r>
    <s v="O0484"/>
    <d v="2024-01-03T00:00:00"/>
    <s v="C026"/>
    <x v="0"/>
    <n v="2"/>
    <n v="18788"/>
    <n v="3704.25"/>
    <x v="8"/>
    <n v="2024"/>
    <s v="Q1"/>
    <n v="19.716042154566747"/>
  </r>
  <r>
    <s v="O0485"/>
    <d v="2024-09-22T00:00:00"/>
    <s v="C093"/>
    <x v="16"/>
    <n v="1"/>
    <n v="6220"/>
    <n v="779.9"/>
    <x v="11"/>
    <n v="2024"/>
    <s v="Q3"/>
    <n v="12.538585209003214"/>
  </r>
  <r>
    <s v="O0486"/>
    <d v="2024-02-26T00:00:00"/>
    <s v="C025"/>
    <x v="5"/>
    <n v="1"/>
    <n v="8626"/>
    <n v="1882.89"/>
    <x v="0"/>
    <n v="2024"/>
    <s v="Q1"/>
    <n v="21.828077904011131"/>
  </r>
  <r>
    <s v="O0487"/>
    <d v="2024-10-22T00:00:00"/>
    <s v="C052"/>
    <x v="3"/>
    <n v="1"/>
    <n v="55695"/>
    <n v="8672.57"/>
    <x v="7"/>
    <n v="2024"/>
    <s v="Q4"/>
    <n v="15.571541431008168"/>
  </r>
  <r>
    <s v="O0488"/>
    <d v="2024-07-09T00:00:00"/>
    <s v="C067"/>
    <x v="18"/>
    <n v="3"/>
    <n v="163152"/>
    <n v="17010.54"/>
    <x v="6"/>
    <n v="2024"/>
    <s v="Q3"/>
    <n v="10.426191526919682"/>
  </r>
  <r>
    <s v="O0489"/>
    <d v="2024-07-07T00:00:00"/>
    <s v="C083"/>
    <x v="10"/>
    <n v="4"/>
    <n v="24100"/>
    <n v="3613.45"/>
    <x v="6"/>
    <n v="2024"/>
    <s v="Q3"/>
    <n v="14.99356846473029"/>
  </r>
  <r>
    <s v="O0490"/>
    <d v="2024-05-01T00:00:00"/>
    <s v="C071"/>
    <x v="14"/>
    <n v="2"/>
    <n v="14310"/>
    <n v="1303.6400000000001"/>
    <x v="1"/>
    <n v="2024"/>
    <s v="Q2"/>
    <n v="9.1099930118798049"/>
  </r>
  <r>
    <s v="O0491"/>
    <d v="2024-08-21T00:00:00"/>
    <s v="C031"/>
    <x v="19"/>
    <n v="2"/>
    <n v="18202"/>
    <n v="3527.7"/>
    <x v="5"/>
    <n v="2024"/>
    <s v="Q3"/>
    <n v="19.380837270629598"/>
  </r>
  <r>
    <s v="O0492"/>
    <d v="2024-03-29T00:00:00"/>
    <s v="C079"/>
    <x v="15"/>
    <n v="5"/>
    <n v="56175"/>
    <n v="5404.8"/>
    <x v="9"/>
    <n v="2024"/>
    <s v="Q1"/>
    <n v="9.621361815754339"/>
  </r>
  <r>
    <s v="O0493"/>
    <d v="2024-05-22T00:00:00"/>
    <s v="C068"/>
    <x v="19"/>
    <n v="1"/>
    <n v="9101"/>
    <n v="1393.65"/>
    <x v="1"/>
    <n v="2024"/>
    <s v="Q2"/>
    <n v="15.313152400835072"/>
  </r>
  <r>
    <s v="O0494"/>
    <d v="2024-12-04T00:00:00"/>
    <s v="C054"/>
    <x v="13"/>
    <n v="2"/>
    <n v="111900"/>
    <n v="22176.86"/>
    <x v="10"/>
    <n v="2024"/>
    <s v="Q4"/>
    <n v="19.818462913315461"/>
  </r>
  <r>
    <s v="O0495"/>
    <d v="2024-01-25T00:00:00"/>
    <s v="C048"/>
    <x v="17"/>
    <n v="3"/>
    <n v="162561"/>
    <n v="29170.65"/>
    <x v="8"/>
    <n v="2024"/>
    <s v="Q1"/>
    <n v="17.944433166626684"/>
  </r>
  <r>
    <s v="O0496"/>
    <d v="2024-09-24T00:00:00"/>
    <s v="C065"/>
    <x v="15"/>
    <n v="2"/>
    <n v="22470"/>
    <n v="4428.51"/>
    <x v="11"/>
    <n v="2024"/>
    <s v="Q3"/>
    <n v="19.708544726301735"/>
  </r>
  <r>
    <s v="O0497"/>
    <d v="2024-05-05T00:00:00"/>
    <s v="C047"/>
    <x v="8"/>
    <n v="1"/>
    <n v="24236"/>
    <n v="3378.25"/>
    <x v="1"/>
    <n v="2024"/>
    <s v="Q2"/>
    <n v="13.938975078395774"/>
  </r>
  <r>
    <s v="O0498"/>
    <d v="2024-01-10T00:00:00"/>
    <s v="C082"/>
    <x v="6"/>
    <n v="4"/>
    <n v="100636"/>
    <n v="24318"/>
    <x v="8"/>
    <n v="2024"/>
    <s v="Q1"/>
    <n v="24.164314956874282"/>
  </r>
  <r>
    <s v="O0499"/>
    <d v="2024-08-29T00:00:00"/>
    <s v="C047"/>
    <x v="13"/>
    <n v="2"/>
    <n v="111900"/>
    <n v="14434.72"/>
    <x v="5"/>
    <n v="2024"/>
    <s v="Q3"/>
    <n v="12.899660411081321"/>
  </r>
  <r>
    <s v="O0500"/>
    <d v="2024-10-28T00:00:00"/>
    <s v="C082"/>
    <x v="19"/>
    <n v="4"/>
    <n v="36404"/>
    <n v="3327.81"/>
    <x v="7"/>
    <n v="2024"/>
    <s v="Q4"/>
    <n v="9.1413306230084608"/>
  </r>
  <r>
    <s v="O0501"/>
    <d v="2024-09-13T00:00:00"/>
    <s v="C056"/>
    <x v="5"/>
    <n v="4"/>
    <n v="34504"/>
    <n v="5951.83"/>
    <x v="11"/>
    <n v="2024"/>
    <s v="Q3"/>
    <n v="17.249681196383026"/>
  </r>
  <r>
    <s v="O0502"/>
    <d v="2024-12-27T00:00:00"/>
    <s v="C013"/>
    <x v="13"/>
    <n v="5"/>
    <n v="279750"/>
    <n v="62710.87"/>
    <x v="10"/>
    <n v="2024"/>
    <s v="Q4"/>
    <n v="22.416754244861483"/>
  </r>
  <r>
    <s v="O0503"/>
    <d v="2024-05-03T00:00:00"/>
    <s v="C051"/>
    <x v="4"/>
    <n v="5"/>
    <n v="56710"/>
    <n v="13710.03"/>
    <x v="1"/>
    <n v="2024"/>
    <s v="Q2"/>
    <n v="24.175683301005115"/>
  </r>
  <r>
    <s v="O0504"/>
    <d v="2024-06-11T00:00:00"/>
    <s v="C067"/>
    <x v="1"/>
    <n v="4"/>
    <n v="35492"/>
    <n v="7862.55"/>
    <x v="3"/>
    <n v="2024"/>
    <s v="Q2"/>
    <n v="22.153020398963147"/>
  </r>
  <r>
    <s v="O0505"/>
    <d v="2024-11-08T00:00:00"/>
    <s v="C057"/>
    <x v="6"/>
    <n v="1"/>
    <n v="25159"/>
    <n v="2913.81"/>
    <x v="4"/>
    <n v="2024"/>
    <s v="Q4"/>
    <n v="11.581581143924639"/>
  </r>
  <r>
    <s v="O0506"/>
    <d v="2024-02-24T00:00:00"/>
    <s v="C090"/>
    <x v="10"/>
    <n v="1"/>
    <n v="6025"/>
    <n v="580.51"/>
    <x v="0"/>
    <n v="2024"/>
    <s v="Q1"/>
    <n v="9.6350207468879656"/>
  </r>
  <r>
    <s v="O0507"/>
    <d v="2024-09-19T00:00:00"/>
    <s v="C026"/>
    <x v="6"/>
    <n v="5"/>
    <n v="125795"/>
    <n v="11934.96"/>
    <x v="11"/>
    <n v="2024"/>
    <s v="Q3"/>
    <n v="9.4876266942247298"/>
  </r>
  <r>
    <s v="O0508"/>
    <d v="2024-11-09T00:00:00"/>
    <s v="C056"/>
    <x v="0"/>
    <n v="1"/>
    <n v="9394"/>
    <n v="1242.3900000000001"/>
    <x v="4"/>
    <n v="2024"/>
    <s v="Q4"/>
    <n v="13.225356610602512"/>
  </r>
  <r>
    <s v="O0509"/>
    <d v="2024-07-19T00:00:00"/>
    <s v="C008"/>
    <x v="8"/>
    <n v="4"/>
    <n v="96944"/>
    <n v="16992.54"/>
    <x v="6"/>
    <n v="2024"/>
    <s v="Q3"/>
    <n v="17.52820184848985"/>
  </r>
  <r>
    <s v="O0510"/>
    <d v="2024-11-13T00:00:00"/>
    <s v="C081"/>
    <x v="9"/>
    <n v="5"/>
    <n v="55780"/>
    <n v="4737.21"/>
    <x v="4"/>
    <n v="2024"/>
    <s v="Q4"/>
    <n v="8.4926676228038716"/>
  </r>
  <r>
    <s v="O0511"/>
    <d v="2024-06-13T00:00:00"/>
    <s v="C062"/>
    <x v="15"/>
    <n v="2"/>
    <n v="22470"/>
    <n v="2823.69"/>
    <x v="3"/>
    <n v="2024"/>
    <s v="Q2"/>
    <n v="12.566488651535382"/>
  </r>
  <r>
    <s v="O0512"/>
    <d v="2024-05-17T00:00:00"/>
    <s v="C100"/>
    <x v="18"/>
    <n v="4"/>
    <n v="217536"/>
    <n v="37151.370000000003"/>
    <x v="1"/>
    <n v="2024"/>
    <s v="Q2"/>
    <n v="17.078262908208298"/>
  </r>
  <r>
    <s v="O0513"/>
    <d v="2024-10-26T00:00:00"/>
    <s v="C066"/>
    <x v="12"/>
    <n v="4"/>
    <n v="26988"/>
    <n v="4249.0600000000004"/>
    <x v="7"/>
    <n v="2024"/>
    <s v="Q4"/>
    <n v="15.744256706684453"/>
  </r>
  <r>
    <s v="O0514"/>
    <d v="2024-12-03T00:00:00"/>
    <s v="C076"/>
    <x v="12"/>
    <n v="3"/>
    <n v="20241"/>
    <n v="3374.06"/>
    <x v="10"/>
    <n v="2024"/>
    <s v="Q4"/>
    <n v="16.669433328392866"/>
  </r>
  <r>
    <s v="O0515"/>
    <d v="2024-09-01T00:00:00"/>
    <s v="C051"/>
    <x v="17"/>
    <n v="5"/>
    <n v="270935"/>
    <n v="49166.080000000002"/>
    <x v="11"/>
    <n v="2024"/>
    <s v="Q3"/>
    <n v="18.146817502352963"/>
  </r>
  <r>
    <s v="O0516"/>
    <d v="2024-03-16T00:00:00"/>
    <s v="C097"/>
    <x v="0"/>
    <n v="3"/>
    <n v="28182"/>
    <n v="2336.52"/>
    <x v="9"/>
    <n v="2024"/>
    <s v="Q1"/>
    <n v="8.2908239301681927"/>
  </r>
  <r>
    <s v="O0517"/>
    <d v="2024-06-07T00:00:00"/>
    <s v="C064"/>
    <x v="6"/>
    <n v="3"/>
    <n v="75477"/>
    <n v="9363.6299999999992"/>
    <x v="3"/>
    <n v="2024"/>
    <s v="Q2"/>
    <n v="12.405938232839143"/>
  </r>
  <r>
    <s v="O0518"/>
    <d v="2024-03-11T00:00:00"/>
    <s v="C070"/>
    <x v="16"/>
    <n v="2"/>
    <n v="12440"/>
    <n v="1221.1300000000001"/>
    <x v="9"/>
    <n v="2024"/>
    <s v="Q1"/>
    <n v="9.8161575562700971"/>
  </r>
  <r>
    <s v="O0519"/>
    <d v="2024-10-18T00:00:00"/>
    <s v="C059"/>
    <x v="9"/>
    <n v="4"/>
    <n v="44624"/>
    <n v="7132.82"/>
    <x v="7"/>
    <n v="2024"/>
    <s v="Q4"/>
    <n v="15.984268555037648"/>
  </r>
  <r>
    <s v="O0520"/>
    <d v="2024-01-08T00:00:00"/>
    <s v="C042"/>
    <x v="7"/>
    <n v="3"/>
    <n v="25086"/>
    <n v="2540.5"/>
    <x v="8"/>
    <n v="2024"/>
    <s v="Q1"/>
    <n v="10.127162560790879"/>
  </r>
  <r>
    <s v="O0521"/>
    <d v="2024-02-03T00:00:00"/>
    <s v="C069"/>
    <x v="14"/>
    <n v="3"/>
    <n v="21465"/>
    <n v="3988.78"/>
    <x v="0"/>
    <n v="2024"/>
    <s v="Q1"/>
    <n v="18.582716049382718"/>
  </r>
  <r>
    <s v="O0522"/>
    <d v="2024-09-13T00:00:00"/>
    <s v="C060"/>
    <x v="16"/>
    <n v="1"/>
    <n v="6220"/>
    <n v="1181.31"/>
    <x v="11"/>
    <n v="2024"/>
    <s v="Q3"/>
    <n v="18.992122186495173"/>
  </r>
  <r>
    <s v="O0523"/>
    <d v="2024-02-20T00:00:00"/>
    <s v="C089"/>
    <x v="19"/>
    <n v="5"/>
    <n v="45505"/>
    <n v="6745.88"/>
    <x v="0"/>
    <n v="2024"/>
    <s v="Q1"/>
    <n v="14.824480826282826"/>
  </r>
  <r>
    <s v="O0524"/>
    <d v="2024-12-22T00:00:00"/>
    <s v="C088"/>
    <x v="3"/>
    <n v="5"/>
    <n v="278475"/>
    <n v="51617.87"/>
    <x v="10"/>
    <n v="2024"/>
    <s v="Q4"/>
    <n v="18.535908070742437"/>
  </r>
  <r>
    <s v="O0525"/>
    <d v="2024-09-12T00:00:00"/>
    <s v="C089"/>
    <x v="8"/>
    <n v="4"/>
    <n v="96944"/>
    <n v="9263.67"/>
    <x v="11"/>
    <n v="2024"/>
    <s v="Q3"/>
    <n v="9.5556919458656555"/>
  </r>
  <r>
    <s v="O0526"/>
    <d v="2024-01-23T00:00:00"/>
    <s v="C068"/>
    <x v="3"/>
    <n v="5"/>
    <n v="278475"/>
    <n v="63643.37"/>
    <x v="8"/>
    <n v="2024"/>
    <s v="Q1"/>
    <n v="22.854249034922347"/>
  </r>
  <r>
    <s v="O0527"/>
    <d v="2024-01-22T00:00:00"/>
    <s v="C025"/>
    <x v="12"/>
    <n v="1"/>
    <n v="6747"/>
    <n v="1247.6099999999999"/>
    <x v="8"/>
    <n v="2024"/>
    <s v="Q1"/>
    <n v="18.491329479768783"/>
  </r>
  <r>
    <s v="O0528"/>
    <d v="2024-04-12T00:00:00"/>
    <s v="C016"/>
    <x v="7"/>
    <n v="5"/>
    <n v="41810"/>
    <n v="5513.42"/>
    <x v="2"/>
    <n v="2024"/>
    <s v="Q2"/>
    <n v="13.186845252331977"/>
  </r>
  <r>
    <s v="O0529"/>
    <d v="2024-04-21T00:00:00"/>
    <s v="C021"/>
    <x v="7"/>
    <n v="2"/>
    <n v="16724"/>
    <n v="1985.95"/>
    <x v="2"/>
    <n v="2024"/>
    <s v="Q2"/>
    <n v="11.874850514231046"/>
  </r>
  <r>
    <s v="O0530"/>
    <d v="2024-10-15T00:00:00"/>
    <s v="C012"/>
    <x v="11"/>
    <n v="3"/>
    <n v="76824"/>
    <n v="17876.52"/>
    <x v="7"/>
    <n v="2024"/>
    <s v="Q4"/>
    <n v="23.269447047797563"/>
  </r>
  <r>
    <s v="O0531"/>
    <d v="2024-10-22T00:00:00"/>
    <s v="C056"/>
    <x v="2"/>
    <n v="5"/>
    <n v="274685"/>
    <n v="28264.65"/>
    <x v="7"/>
    <n v="2024"/>
    <s v="Q4"/>
    <n v="10.289841090703899"/>
  </r>
  <r>
    <s v="O0532"/>
    <d v="2024-01-12T00:00:00"/>
    <s v="C032"/>
    <x v="5"/>
    <n v="5"/>
    <n v="43130"/>
    <n v="5392.33"/>
    <x v="8"/>
    <n v="2024"/>
    <s v="Q1"/>
    <n v="12.50250405750058"/>
  </r>
  <r>
    <s v="O0533"/>
    <d v="2024-08-04T00:00:00"/>
    <s v="C056"/>
    <x v="4"/>
    <n v="3"/>
    <n v="34026"/>
    <n v="7601"/>
    <x v="5"/>
    <n v="2024"/>
    <s v="Q3"/>
    <n v="22.338799741374242"/>
  </r>
  <r>
    <s v="O0534"/>
    <d v="2024-12-13T00:00:00"/>
    <s v="C056"/>
    <x v="5"/>
    <n v="2"/>
    <n v="17252"/>
    <n v="2010.09"/>
    <x v="10"/>
    <n v="2024"/>
    <s v="Q4"/>
    <n v="11.65134477162068"/>
  </r>
  <r>
    <s v="O0535"/>
    <d v="2024-06-30T00:00:00"/>
    <s v="C005"/>
    <x v="17"/>
    <n v="4"/>
    <n v="216748"/>
    <n v="30412.58"/>
    <x v="3"/>
    <n v="2024"/>
    <s v="Q2"/>
    <n v="14.031308247365606"/>
  </r>
  <r>
    <s v="O0536"/>
    <d v="2024-04-27T00:00:00"/>
    <s v="C066"/>
    <x v="13"/>
    <n v="2"/>
    <n v="111900"/>
    <n v="23964.69"/>
    <x v="2"/>
    <n v="2024"/>
    <s v="Q2"/>
    <n v="21.416166219839141"/>
  </r>
  <r>
    <s v="O0537"/>
    <d v="2024-06-13T00:00:00"/>
    <s v="C008"/>
    <x v="10"/>
    <n v="1"/>
    <n v="6025"/>
    <n v="1370.7"/>
    <x v="3"/>
    <n v="2024"/>
    <s v="Q2"/>
    <n v="22.750207468879669"/>
  </r>
  <r>
    <s v="O0538"/>
    <d v="2024-12-26T00:00:00"/>
    <s v="C028"/>
    <x v="0"/>
    <n v="3"/>
    <n v="28182"/>
    <n v="2997.11"/>
    <x v="10"/>
    <n v="2024"/>
    <s v="Q4"/>
    <n v="10.634837839755873"/>
  </r>
  <r>
    <s v="O0539"/>
    <d v="2024-11-09T00:00:00"/>
    <s v="C067"/>
    <x v="1"/>
    <n v="1"/>
    <n v="8873"/>
    <n v="1430.26"/>
    <x v="4"/>
    <n v="2024"/>
    <s v="Q4"/>
    <n v="16.119238138171983"/>
  </r>
  <r>
    <s v="O0540"/>
    <d v="2024-12-25T00:00:00"/>
    <s v="C001"/>
    <x v="18"/>
    <n v="3"/>
    <n v="163152"/>
    <n v="20333.04"/>
    <x v="10"/>
    <n v="2024"/>
    <s v="Q4"/>
    <n v="12.462636069432186"/>
  </r>
  <r>
    <s v="O0541"/>
    <d v="2024-07-13T00:00:00"/>
    <s v="C038"/>
    <x v="14"/>
    <n v="2"/>
    <n v="14310"/>
    <n v="2822.27"/>
    <x v="6"/>
    <n v="2024"/>
    <s v="Q3"/>
    <n v="19.722361984626136"/>
  </r>
  <r>
    <s v="O0542"/>
    <d v="2024-01-13T00:00:00"/>
    <s v="C085"/>
    <x v="9"/>
    <n v="4"/>
    <n v="44624"/>
    <n v="7037.22"/>
    <x v="8"/>
    <n v="2024"/>
    <s v="Q1"/>
    <n v="15.770034062387953"/>
  </r>
  <r>
    <s v="O0543"/>
    <d v="2024-05-31T00:00:00"/>
    <s v="C017"/>
    <x v="0"/>
    <n v="4"/>
    <n v="37576"/>
    <n v="7129.06"/>
    <x v="1"/>
    <n v="2024"/>
    <s v="Q2"/>
    <n v="18.972375984671068"/>
  </r>
  <r>
    <s v="O0544"/>
    <d v="2024-06-19T00:00:00"/>
    <s v="C090"/>
    <x v="4"/>
    <n v="4"/>
    <n v="45368"/>
    <n v="5178.92"/>
    <x v="3"/>
    <n v="2024"/>
    <s v="Q2"/>
    <n v="11.415358843237525"/>
  </r>
  <r>
    <s v="O0545"/>
    <d v="2024-02-29T00:00:00"/>
    <s v="C013"/>
    <x v="0"/>
    <n v="2"/>
    <n v="18788"/>
    <n v="3073.44"/>
    <x v="0"/>
    <n v="2024"/>
    <s v="Q1"/>
    <n v="16.358526719182457"/>
  </r>
  <r>
    <s v="O0546"/>
    <d v="2024-10-31T00:00:00"/>
    <s v="C023"/>
    <x v="18"/>
    <n v="3"/>
    <n v="163152"/>
    <n v="32656.73"/>
    <x v="7"/>
    <n v="2024"/>
    <s v="Q4"/>
    <n v="20.016138324997549"/>
  </r>
  <r>
    <s v="O0547"/>
    <d v="2024-08-03T00:00:00"/>
    <s v="C082"/>
    <x v="4"/>
    <n v="4"/>
    <n v="45368"/>
    <n v="6717"/>
    <x v="5"/>
    <n v="2024"/>
    <s v="Q3"/>
    <n v="14.80558984306119"/>
  </r>
  <r>
    <s v="O0548"/>
    <d v="2024-03-13T00:00:00"/>
    <s v="C097"/>
    <x v="19"/>
    <n v="4"/>
    <n v="36404"/>
    <n v="8762.7900000000009"/>
    <x v="9"/>
    <n v="2024"/>
    <s v="Q1"/>
    <n v="24.070953741347108"/>
  </r>
  <r>
    <s v="O0549"/>
    <d v="2024-11-11T00:00:00"/>
    <s v="C055"/>
    <x v="13"/>
    <n v="1"/>
    <n v="55950"/>
    <n v="7257.92"/>
    <x v="4"/>
    <n v="2024"/>
    <s v="Q4"/>
    <n v="12.972153708668454"/>
  </r>
  <r>
    <s v="O0550"/>
    <d v="2024-09-02T00:00:00"/>
    <s v="C056"/>
    <x v="6"/>
    <n v="2"/>
    <n v="50318"/>
    <n v="9142.6"/>
    <x v="11"/>
    <n v="2024"/>
    <s v="Q3"/>
    <n v="18.169641082713937"/>
  </r>
  <r>
    <s v="O0551"/>
    <d v="2024-02-24T00:00:00"/>
    <s v="C077"/>
    <x v="17"/>
    <n v="3"/>
    <n v="162561"/>
    <n v="27063.62"/>
    <x v="0"/>
    <n v="2024"/>
    <s v="Q1"/>
    <n v="16.648285874225675"/>
  </r>
  <r>
    <s v="O0552"/>
    <d v="2024-05-12T00:00:00"/>
    <s v="C042"/>
    <x v="13"/>
    <n v="5"/>
    <n v="279750"/>
    <n v="56345.63"/>
    <x v="1"/>
    <n v="2024"/>
    <s v="Q2"/>
    <n v="20.141422698838248"/>
  </r>
  <r>
    <s v="O0553"/>
    <d v="2024-02-19T00:00:00"/>
    <s v="C087"/>
    <x v="19"/>
    <n v="5"/>
    <n v="45505"/>
    <n v="8754.1"/>
    <x v="0"/>
    <n v="2024"/>
    <s v="Q1"/>
    <n v="19.237666190528515"/>
  </r>
  <r>
    <s v="O0554"/>
    <d v="2024-02-18T00:00:00"/>
    <s v="C099"/>
    <x v="10"/>
    <n v="4"/>
    <n v="24100"/>
    <n v="3013.37"/>
    <x v="0"/>
    <n v="2024"/>
    <s v="Q1"/>
    <n v="12.503609958506223"/>
  </r>
  <r>
    <s v="O0555"/>
    <d v="2024-07-13T00:00:00"/>
    <s v="C037"/>
    <x v="13"/>
    <n v="1"/>
    <n v="55950"/>
    <n v="8340.91"/>
    <x v="6"/>
    <n v="2024"/>
    <s v="Q3"/>
    <n v="14.907792672028597"/>
  </r>
  <r>
    <s v="O0556"/>
    <d v="2024-10-13T00:00:00"/>
    <s v="C004"/>
    <x v="18"/>
    <n v="5"/>
    <n v="271920"/>
    <n v="54980.160000000003"/>
    <x v="7"/>
    <n v="2024"/>
    <s v="Q4"/>
    <n v="20.219240953221536"/>
  </r>
  <r>
    <s v="O0557"/>
    <d v="2024-07-11T00:00:00"/>
    <s v="C051"/>
    <x v="18"/>
    <n v="2"/>
    <n v="108768"/>
    <n v="18120.349999999999"/>
    <x v="6"/>
    <n v="2024"/>
    <s v="Q3"/>
    <n v="16.659633348043538"/>
  </r>
  <r>
    <s v="O0558"/>
    <d v="2024-12-10T00:00:00"/>
    <s v="C008"/>
    <x v="17"/>
    <n v="5"/>
    <n v="270935"/>
    <n v="25545.69"/>
    <x v="10"/>
    <n v="2024"/>
    <s v="Q4"/>
    <n v="9.4287153745363277"/>
  </r>
  <r>
    <s v="O0559"/>
    <d v="2024-01-21T00:00:00"/>
    <s v="C006"/>
    <x v="15"/>
    <n v="1"/>
    <n v="11235"/>
    <n v="1459.57"/>
    <x v="8"/>
    <n v="2024"/>
    <s v="Q1"/>
    <n v="12.991277258566978"/>
  </r>
  <r>
    <s v="O0560"/>
    <d v="2024-01-24T00:00:00"/>
    <s v="C045"/>
    <x v="9"/>
    <n v="1"/>
    <n v="11156"/>
    <n v="1031.3399999999999"/>
    <x v="8"/>
    <n v="2024"/>
    <s v="Q1"/>
    <n v="9.2447113660810327"/>
  </r>
  <r>
    <s v="O0561"/>
    <d v="2024-10-02T00:00:00"/>
    <s v="C075"/>
    <x v="16"/>
    <n v="3"/>
    <n v="18660"/>
    <n v="2469.46"/>
    <x v="7"/>
    <n v="2024"/>
    <s v="Q4"/>
    <n v="13.233976420150054"/>
  </r>
  <r>
    <s v="O0562"/>
    <d v="2024-03-28T00:00:00"/>
    <s v="C061"/>
    <x v="4"/>
    <n v="3"/>
    <n v="34026"/>
    <n v="7641.36"/>
    <x v="9"/>
    <n v="2024"/>
    <s v="Q1"/>
    <n v="22.457414918003877"/>
  </r>
  <r>
    <s v="O0563"/>
    <d v="2024-11-04T00:00:00"/>
    <s v="C081"/>
    <x v="10"/>
    <n v="5"/>
    <n v="30125"/>
    <n v="3689.84"/>
    <x v="4"/>
    <n v="2024"/>
    <s v="Q4"/>
    <n v="12.24843153526971"/>
  </r>
  <r>
    <s v="O0564"/>
    <d v="2024-06-05T00:00:00"/>
    <s v="C030"/>
    <x v="0"/>
    <n v="2"/>
    <n v="18788"/>
    <n v="2495.6799999999998"/>
    <x v="3"/>
    <n v="2024"/>
    <s v="Q2"/>
    <n v="13.283372365339577"/>
  </r>
  <r>
    <s v="O0565"/>
    <d v="2024-12-02T00:00:00"/>
    <s v="C069"/>
    <x v="3"/>
    <n v="3"/>
    <n v="167085"/>
    <n v="30063.21"/>
    <x v="10"/>
    <n v="2024"/>
    <s v="Q4"/>
    <n v="17.992764161953495"/>
  </r>
  <r>
    <s v="O0566"/>
    <d v="2024-05-03T00:00:00"/>
    <s v="C062"/>
    <x v="2"/>
    <n v="2"/>
    <n v="109874"/>
    <n v="11546"/>
    <x v="1"/>
    <n v="2024"/>
    <s v="Q2"/>
    <n v="10.508400531517921"/>
  </r>
  <r>
    <s v="O0567"/>
    <d v="2024-03-11T00:00:00"/>
    <s v="C021"/>
    <x v="5"/>
    <n v="3"/>
    <n v="25878"/>
    <n v="3824.25"/>
    <x v="9"/>
    <n v="2024"/>
    <s v="Q1"/>
    <n v="14.777996753999536"/>
  </r>
  <r>
    <s v="O0568"/>
    <d v="2024-07-16T00:00:00"/>
    <s v="C022"/>
    <x v="7"/>
    <n v="5"/>
    <n v="41810"/>
    <n v="3870.91"/>
    <x v="6"/>
    <n v="2024"/>
    <s v="Q3"/>
    <n v="9.258335326476919"/>
  </r>
  <r>
    <s v="O0569"/>
    <d v="2024-04-20T00:00:00"/>
    <s v="C091"/>
    <x v="14"/>
    <n v="2"/>
    <n v="14310"/>
    <n v="1238.9000000000001"/>
    <x v="2"/>
    <n v="2024"/>
    <s v="Q2"/>
    <n v="8.6575821104122994"/>
  </r>
  <r>
    <s v="O0570"/>
    <d v="2024-11-22T00:00:00"/>
    <s v="C052"/>
    <x v="6"/>
    <n v="3"/>
    <n v="75477"/>
    <n v="15942.43"/>
    <x v="4"/>
    <n v="2024"/>
    <s v="Q4"/>
    <n v="21.122235912927117"/>
  </r>
  <r>
    <s v="O0571"/>
    <d v="2024-02-05T00:00:00"/>
    <s v="C038"/>
    <x v="11"/>
    <n v="4"/>
    <n v="102432"/>
    <n v="14054.13"/>
    <x v="0"/>
    <n v="2024"/>
    <s v="Q1"/>
    <n v="13.720448687910029"/>
  </r>
  <r>
    <s v="O0572"/>
    <d v="2024-10-11T00:00:00"/>
    <s v="C010"/>
    <x v="0"/>
    <n v="1"/>
    <n v="9394"/>
    <n v="1587.67"/>
    <x v="7"/>
    <n v="2024"/>
    <s v="Q4"/>
    <n v="16.900894187779432"/>
  </r>
  <r>
    <s v="O0573"/>
    <d v="2024-08-22T00:00:00"/>
    <s v="C059"/>
    <x v="19"/>
    <n v="5"/>
    <n v="45505"/>
    <n v="11012.35"/>
    <x v="5"/>
    <n v="2024"/>
    <s v="Q3"/>
    <n v="24.200307658499067"/>
  </r>
  <r>
    <s v="O0574"/>
    <d v="2024-05-04T00:00:00"/>
    <s v="C056"/>
    <x v="7"/>
    <n v="1"/>
    <n v="8362"/>
    <n v="942.19"/>
    <x v="1"/>
    <n v="2024"/>
    <s v="Q2"/>
    <n v="11.267519732121503"/>
  </r>
  <r>
    <s v="O0575"/>
    <d v="2024-06-06T00:00:00"/>
    <s v="C040"/>
    <x v="14"/>
    <n v="5"/>
    <n v="35775"/>
    <n v="6550.3"/>
    <x v="3"/>
    <n v="2024"/>
    <s v="Q2"/>
    <n v="18.309713487071978"/>
  </r>
  <r>
    <s v="O0576"/>
    <d v="2024-01-15T00:00:00"/>
    <s v="C034"/>
    <x v="10"/>
    <n v="3"/>
    <n v="18075"/>
    <n v="2329.39"/>
    <x v="8"/>
    <n v="2024"/>
    <s v="Q1"/>
    <n v="12.887358229598892"/>
  </r>
  <r>
    <s v="O0577"/>
    <d v="2024-06-10T00:00:00"/>
    <s v="C002"/>
    <x v="15"/>
    <n v="1"/>
    <n v="11235"/>
    <n v="1292.79"/>
    <x v="3"/>
    <n v="2024"/>
    <s v="Q2"/>
    <n v="11.506809078771695"/>
  </r>
  <r>
    <s v="O0578"/>
    <d v="2024-02-26T00:00:00"/>
    <s v="C058"/>
    <x v="16"/>
    <n v="1"/>
    <n v="6220"/>
    <n v="758.39"/>
    <x v="0"/>
    <n v="2024"/>
    <s v="Q1"/>
    <n v="12.192765273311897"/>
  </r>
  <r>
    <s v="O0579"/>
    <d v="2024-03-10T00:00:00"/>
    <s v="C025"/>
    <x v="19"/>
    <n v="2"/>
    <n v="18202"/>
    <n v="3425.56"/>
    <x v="9"/>
    <n v="2024"/>
    <s v="Q1"/>
    <n v="18.819690143940228"/>
  </r>
  <r>
    <s v="O0580"/>
    <d v="2024-01-15T00:00:00"/>
    <s v="C080"/>
    <x v="4"/>
    <n v="1"/>
    <n v="11342"/>
    <n v="1756.18"/>
    <x v="8"/>
    <n v="2024"/>
    <s v="Q1"/>
    <n v="15.483865279492154"/>
  </r>
  <r>
    <s v="O0581"/>
    <d v="2024-09-29T00:00:00"/>
    <s v="C072"/>
    <x v="0"/>
    <n v="4"/>
    <n v="37576"/>
    <n v="4110.3100000000004"/>
    <x v="11"/>
    <n v="2024"/>
    <s v="Q3"/>
    <n v="10.938657653821588"/>
  </r>
  <r>
    <s v="O0582"/>
    <d v="2024-03-11T00:00:00"/>
    <s v="C002"/>
    <x v="0"/>
    <n v="2"/>
    <n v="18788"/>
    <n v="1703.32"/>
    <x v="9"/>
    <n v="2024"/>
    <s v="Q1"/>
    <n v="9.0659995741962955"/>
  </r>
  <r>
    <s v="O0583"/>
    <d v="2024-05-13T00:00:00"/>
    <s v="C042"/>
    <x v="8"/>
    <n v="1"/>
    <n v="24236"/>
    <n v="4070.86"/>
    <x v="1"/>
    <n v="2024"/>
    <s v="Q2"/>
    <n v="16.796748638389172"/>
  </r>
  <r>
    <s v="O0584"/>
    <d v="2024-06-29T00:00:00"/>
    <s v="C025"/>
    <x v="1"/>
    <n v="1"/>
    <n v="8873"/>
    <n v="1530.09"/>
    <x v="3"/>
    <n v="2024"/>
    <s v="Q2"/>
    <n v="17.2443367519441"/>
  </r>
  <r>
    <s v="O0585"/>
    <d v="2024-09-28T00:00:00"/>
    <s v="C034"/>
    <x v="7"/>
    <n v="4"/>
    <n v="33448"/>
    <n v="7644.22"/>
    <x v="11"/>
    <n v="2024"/>
    <s v="Q3"/>
    <n v="22.85404209519254"/>
  </r>
  <r>
    <s v="O0586"/>
    <d v="2024-04-02T00:00:00"/>
    <s v="C068"/>
    <x v="7"/>
    <n v="4"/>
    <n v="33448"/>
    <n v="4261.97"/>
    <x v="2"/>
    <n v="2024"/>
    <s v="Q2"/>
    <n v="12.742077254245396"/>
  </r>
  <r>
    <s v="O0587"/>
    <d v="2024-11-12T00:00:00"/>
    <s v="C098"/>
    <x v="18"/>
    <n v="5"/>
    <n v="271920"/>
    <n v="39965.61"/>
    <x v="4"/>
    <n v="2024"/>
    <s v="Q4"/>
    <n v="14.697561782877317"/>
  </r>
  <r>
    <s v="O0588"/>
    <d v="2024-06-11T00:00:00"/>
    <s v="C027"/>
    <x v="11"/>
    <n v="1"/>
    <n v="25608"/>
    <n v="4300.09"/>
    <x v="3"/>
    <n v="2024"/>
    <s v="Q2"/>
    <n v="16.791979069040924"/>
  </r>
  <r>
    <s v="O0589"/>
    <d v="2024-07-28T00:00:00"/>
    <s v="C019"/>
    <x v="0"/>
    <n v="3"/>
    <n v="28182"/>
    <n v="4156.07"/>
    <x v="6"/>
    <n v="2024"/>
    <s v="Q3"/>
    <n v="14.74725001774182"/>
  </r>
  <r>
    <s v="O0590"/>
    <d v="2024-02-03T00:00:00"/>
    <s v="C094"/>
    <x v="8"/>
    <n v="4"/>
    <n v="96944"/>
    <n v="21466.3"/>
    <x v="0"/>
    <n v="2024"/>
    <s v="Q1"/>
    <n v="22.142989767288331"/>
  </r>
  <r>
    <s v="O0591"/>
    <d v="2024-10-06T00:00:00"/>
    <s v="C089"/>
    <x v="9"/>
    <n v="2"/>
    <n v="22312"/>
    <n v="3891.5"/>
    <x v="7"/>
    <n v="2024"/>
    <s v="Q4"/>
    <n v="17.441287199713159"/>
  </r>
  <r>
    <s v="O0592"/>
    <d v="2024-04-21T00:00:00"/>
    <s v="C050"/>
    <x v="7"/>
    <n v="3"/>
    <n v="25086"/>
    <n v="4530.93"/>
    <x v="2"/>
    <n v="2024"/>
    <s v="Q2"/>
    <n v="18.061588136809377"/>
  </r>
  <r>
    <s v="O0593"/>
    <d v="2024-09-22T00:00:00"/>
    <s v="C025"/>
    <x v="16"/>
    <n v="4"/>
    <n v="24880"/>
    <n v="6039.5"/>
    <x v="11"/>
    <n v="2024"/>
    <s v="Q3"/>
    <n v="24.27451768488746"/>
  </r>
  <r>
    <s v="O0594"/>
    <d v="2024-09-23T00:00:00"/>
    <s v="C003"/>
    <x v="8"/>
    <n v="3"/>
    <n v="72708"/>
    <n v="8173.95"/>
    <x v="11"/>
    <n v="2024"/>
    <s v="Q3"/>
    <n v="11.242160422511965"/>
  </r>
  <r>
    <s v="O0595"/>
    <d v="2024-04-17T00:00:00"/>
    <s v="C095"/>
    <x v="7"/>
    <n v="2"/>
    <n v="16724"/>
    <n v="1991.52"/>
    <x v="2"/>
    <n v="2024"/>
    <s v="Q2"/>
    <n v="11.908155943554172"/>
  </r>
  <r>
    <s v="O0596"/>
    <d v="2024-07-25T00:00:00"/>
    <s v="C062"/>
    <x v="12"/>
    <n v="1"/>
    <n v="6747"/>
    <n v="1294.3399999999999"/>
    <x v="6"/>
    <n v="2024"/>
    <s v="Q3"/>
    <n v="19.183933600118568"/>
  </r>
  <r>
    <s v="O0597"/>
    <d v="2024-01-21T00:00:00"/>
    <s v="C037"/>
    <x v="19"/>
    <n v="2"/>
    <n v="18202"/>
    <n v="3934.31"/>
    <x v="8"/>
    <n v="2024"/>
    <s v="Q1"/>
    <n v="21.614712668937479"/>
  </r>
  <r>
    <s v="O0598"/>
    <d v="2024-03-30T00:00:00"/>
    <s v="C091"/>
    <x v="8"/>
    <n v="4"/>
    <n v="96944"/>
    <n v="15581.79"/>
    <x v="9"/>
    <n v="2024"/>
    <s v="Q1"/>
    <n v="16.072980277273476"/>
  </r>
  <r>
    <s v="O0599"/>
    <d v="2024-02-25T00:00:00"/>
    <s v="C028"/>
    <x v="8"/>
    <n v="4"/>
    <n v="96944"/>
    <n v="21143.31"/>
    <x v="0"/>
    <n v="2024"/>
    <s v="Q1"/>
    <n v="21.809818039280408"/>
  </r>
  <r>
    <s v="O0600"/>
    <d v="2024-06-22T00:00:00"/>
    <s v="C085"/>
    <x v="1"/>
    <n v="2"/>
    <n v="17746"/>
    <n v="1611.09"/>
    <x v="3"/>
    <n v="2024"/>
    <s v="Q2"/>
    <n v="9.0786092640595069"/>
  </r>
  <r>
    <s v="O0601"/>
    <d v="2024-07-07T00:00:00"/>
    <s v="C065"/>
    <x v="18"/>
    <n v="4"/>
    <n v="217536"/>
    <n v="36345.040000000001"/>
    <x v="6"/>
    <n v="2024"/>
    <s v="Q3"/>
    <n v="16.707597822889085"/>
  </r>
  <r>
    <s v="O0602"/>
    <d v="2024-08-14T00:00:00"/>
    <s v="C056"/>
    <x v="8"/>
    <n v="2"/>
    <n v="48472"/>
    <n v="10854.15"/>
    <x v="5"/>
    <n v="2024"/>
    <s v="Q3"/>
    <n v="22.392618418881003"/>
  </r>
  <r>
    <s v="O0603"/>
    <d v="2024-10-16T00:00:00"/>
    <s v="C034"/>
    <x v="1"/>
    <n v="3"/>
    <n v="26619"/>
    <n v="3877.47"/>
    <x v="7"/>
    <n v="2024"/>
    <s v="Q4"/>
    <n v="14.56655020849769"/>
  </r>
  <r>
    <s v="O0604"/>
    <d v="2024-04-02T00:00:00"/>
    <s v="C030"/>
    <x v="1"/>
    <n v="5"/>
    <n v="44365"/>
    <n v="10075.41"/>
    <x v="2"/>
    <n v="2024"/>
    <s v="Q2"/>
    <n v="22.710267102445624"/>
  </r>
  <r>
    <s v="O0605"/>
    <d v="2024-08-02T00:00:00"/>
    <s v="C088"/>
    <x v="4"/>
    <n v="3"/>
    <n v="34026"/>
    <n v="3159.93"/>
    <x v="5"/>
    <n v="2024"/>
    <s v="Q3"/>
    <n v="9.2868100864045129"/>
  </r>
  <r>
    <s v="O0606"/>
    <d v="2024-08-23T00:00:00"/>
    <s v="C076"/>
    <x v="18"/>
    <n v="1"/>
    <n v="54384"/>
    <n v="13394.56"/>
    <x v="5"/>
    <n v="2024"/>
    <s v="Q3"/>
    <n v="24.629596940276553"/>
  </r>
  <r>
    <s v="O0607"/>
    <d v="2024-02-16T00:00:00"/>
    <s v="C015"/>
    <x v="0"/>
    <n v="4"/>
    <n v="37576"/>
    <n v="5249.16"/>
    <x v="0"/>
    <n v="2024"/>
    <s v="Q1"/>
    <n v="13.969448584202681"/>
  </r>
  <r>
    <s v="O0608"/>
    <d v="2024-09-25T00:00:00"/>
    <s v="C043"/>
    <x v="9"/>
    <n v="3"/>
    <n v="33468"/>
    <n v="7471.4"/>
    <x v="11"/>
    <n v="2024"/>
    <s v="Q3"/>
    <n v="22.324010995577865"/>
  </r>
  <r>
    <s v="O0609"/>
    <d v="2024-03-26T00:00:00"/>
    <s v="C099"/>
    <x v="4"/>
    <n v="3"/>
    <n v="34026"/>
    <n v="3472.86"/>
    <x v="9"/>
    <n v="2024"/>
    <s v="Q1"/>
    <n v="10.20648915535179"/>
  </r>
  <r>
    <s v="O0610"/>
    <d v="2024-09-07T00:00:00"/>
    <s v="C056"/>
    <x v="16"/>
    <n v="4"/>
    <n v="24880"/>
    <n v="5076.07"/>
    <x v="11"/>
    <n v="2024"/>
    <s v="Q3"/>
    <n v="20.402210610932475"/>
  </r>
  <r>
    <s v="O0611"/>
    <d v="2024-05-10T00:00:00"/>
    <s v="C096"/>
    <x v="1"/>
    <n v="1"/>
    <n v="8873"/>
    <n v="2158.5500000000002"/>
    <x v="1"/>
    <n v="2024"/>
    <s v="Q2"/>
    <n v="24.327172320522937"/>
  </r>
  <r>
    <s v="O0612"/>
    <d v="2024-02-13T00:00:00"/>
    <s v="C016"/>
    <x v="16"/>
    <n v="3"/>
    <n v="18660"/>
    <n v="1571.48"/>
    <x v="0"/>
    <n v="2024"/>
    <s v="Q1"/>
    <n v="8.4216505894962488"/>
  </r>
  <r>
    <s v="O0613"/>
    <d v="2024-02-11T00:00:00"/>
    <s v="C042"/>
    <x v="11"/>
    <n v="2"/>
    <n v="51216"/>
    <n v="6003.26"/>
    <x v="0"/>
    <n v="2024"/>
    <s v="Q1"/>
    <n v="11.721454233052171"/>
  </r>
  <r>
    <s v="O0614"/>
    <d v="2024-08-19T00:00:00"/>
    <s v="C022"/>
    <x v="15"/>
    <n v="3"/>
    <n v="33705"/>
    <n v="4981.8900000000003"/>
    <x v="5"/>
    <n v="2024"/>
    <s v="Q3"/>
    <n v="14.780863373386739"/>
  </r>
  <r>
    <s v="O0615"/>
    <d v="2024-10-15T00:00:00"/>
    <s v="C087"/>
    <x v="18"/>
    <n v="1"/>
    <n v="54384"/>
    <n v="9552.98"/>
    <x v="7"/>
    <n v="2024"/>
    <s v="Q4"/>
    <n v="17.56579140923801"/>
  </r>
  <r>
    <s v="O0616"/>
    <d v="2024-01-19T00:00:00"/>
    <s v="C011"/>
    <x v="9"/>
    <n v="1"/>
    <n v="11156"/>
    <n v="928.03"/>
    <x v="8"/>
    <n v="2024"/>
    <s v="Q1"/>
    <n v="8.318662603083542"/>
  </r>
  <r>
    <s v="O0617"/>
    <d v="2024-11-12T00:00:00"/>
    <s v="C035"/>
    <x v="16"/>
    <n v="2"/>
    <n v="12440"/>
    <n v="2132.14"/>
    <x v="4"/>
    <n v="2024"/>
    <s v="Q4"/>
    <n v="17.139389067524114"/>
  </r>
  <r>
    <s v="O0618"/>
    <d v="2024-06-24T00:00:00"/>
    <s v="C092"/>
    <x v="3"/>
    <n v="1"/>
    <n v="55695"/>
    <n v="8760.98"/>
    <x v="3"/>
    <n v="2024"/>
    <s v="Q2"/>
    <n v="15.730280994703294"/>
  </r>
  <r>
    <s v="O0619"/>
    <d v="2024-12-30T00:00:00"/>
    <s v="C031"/>
    <x v="0"/>
    <n v="3"/>
    <n v="28182"/>
    <n v="5776"/>
    <x v="10"/>
    <n v="2024"/>
    <s v="Q4"/>
    <n v="20.495351642892626"/>
  </r>
  <r>
    <s v="O0620"/>
    <d v="2024-07-20T00:00:00"/>
    <s v="C008"/>
    <x v="19"/>
    <n v="4"/>
    <n v="36404"/>
    <n v="6081.31"/>
    <x v="6"/>
    <n v="2024"/>
    <s v="Q3"/>
    <n v="16.705059883529284"/>
  </r>
  <r>
    <s v="O0621"/>
    <d v="2024-01-21T00:00:00"/>
    <s v="C020"/>
    <x v="12"/>
    <n v="2"/>
    <n v="13494"/>
    <n v="1266.05"/>
    <x v="8"/>
    <n v="2024"/>
    <s v="Q1"/>
    <n v="9.382318067289166"/>
  </r>
  <r>
    <s v="O0622"/>
    <d v="2024-11-13T00:00:00"/>
    <s v="C023"/>
    <x v="3"/>
    <n v="1"/>
    <n v="55695"/>
    <n v="8755.8700000000008"/>
    <x v="4"/>
    <n v="2024"/>
    <s v="Q4"/>
    <n v="15.721106023880063"/>
  </r>
  <r>
    <s v="O0623"/>
    <d v="2024-04-23T00:00:00"/>
    <s v="C068"/>
    <x v="12"/>
    <n v="1"/>
    <n v="6747"/>
    <n v="1500.39"/>
    <x v="2"/>
    <n v="2024"/>
    <s v="Q2"/>
    <n v="22.237883503779461"/>
  </r>
  <r>
    <s v="O0624"/>
    <d v="2024-01-21T00:00:00"/>
    <s v="C033"/>
    <x v="11"/>
    <n v="4"/>
    <n v="102432"/>
    <n v="11483.22"/>
    <x v="8"/>
    <n v="2024"/>
    <s v="Q1"/>
    <n v="11.210578725398312"/>
  </r>
  <r>
    <s v="O0625"/>
    <d v="2024-08-06T00:00:00"/>
    <s v="C078"/>
    <x v="1"/>
    <n v="4"/>
    <n v="35492"/>
    <n v="5243.4"/>
    <x v="5"/>
    <n v="2024"/>
    <s v="Q3"/>
    <n v="14.773470077764003"/>
  </r>
  <r>
    <s v="O0626"/>
    <d v="2024-01-13T00:00:00"/>
    <s v="C035"/>
    <x v="15"/>
    <n v="3"/>
    <n v="33705"/>
    <n v="5932.43"/>
    <x v="8"/>
    <n v="2024"/>
    <s v="Q1"/>
    <n v="17.601038421599171"/>
  </r>
  <r>
    <s v="O0627"/>
    <d v="2024-08-08T00:00:00"/>
    <s v="C011"/>
    <x v="18"/>
    <n v="4"/>
    <n v="217536"/>
    <n v="23393.88"/>
    <x v="5"/>
    <n v="2024"/>
    <s v="Q3"/>
    <n v="10.754026919682259"/>
  </r>
  <r>
    <s v="O0628"/>
    <d v="2024-09-14T00:00:00"/>
    <s v="C021"/>
    <x v="7"/>
    <n v="5"/>
    <n v="41810"/>
    <n v="8871.17"/>
    <x v="11"/>
    <n v="2024"/>
    <s v="Q3"/>
    <n v="21.217818703659411"/>
  </r>
  <r>
    <s v="O0629"/>
    <d v="2024-09-03T00:00:00"/>
    <s v="C080"/>
    <x v="12"/>
    <n v="3"/>
    <n v="20241"/>
    <n v="5028.3"/>
    <x v="11"/>
    <n v="2024"/>
    <s v="Q3"/>
    <n v="24.842152067585594"/>
  </r>
  <r>
    <s v="O0630"/>
    <d v="2024-10-09T00:00:00"/>
    <s v="C037"/>
    <x v="10"/>
    <n v="4"/>
    <n v="24100"/>
    <n v="5492.87"/>
    <x v="7"/>
    <n v="2024"/>
    <s v="Q4"/>
    <n v="22.791991701244811"/>
  </r>
  <r>
    <s v="O0631"/>
    <d v="2024-10-05T00:00:00"/>
    <s v="C049"/>
    <x v="16"/>
    <n v="2"/>
    <n v="12440"/>
    <n v="1754.06"/>
    <x v="7"/>
    <n v="2024"/>
    <s v="Q4"/>
    <n v="14.100160771704179"/>
  </r>
  <r>
    <s v="O0632"/>
    <d v="2024-12-02T00:00:00"/>
    <s v="C092"/>
    <x v="11"/>
    <n v="2"/>
    <n v="51216"/>
    <n v="6402.23"/>
    <x v="10"/>
    <n v="2024"/>
    <s v="Q4"/>
    <n v="12.500449078412995"/>
  </r>
  <r>
    <s v="O0633"/>
    <d v="2024-10-28T00:00:00"/>
    <s v="C010"/>
    <x v="2"/>
    <n v="4"/>
    <n v="219748"/>
    <n v="23573.88"/>
    <x v="7"/>
    <n v="2024"/>
    <s v="Q4"/>
    <n v="10.727688079072392"/>
  </r>
  <r>
    <s v="O0634"/>
    <d v="2024-09-04T00:00:00"/>
    <s v="C033"/>
    <x v="18"/>
    <n v="1"/>
    <n v="54384"/>
    <n v="5823.97"/>
    <x v="11"/>
    <n v="2024"/>
    <s v="Q3"/>
    <n v="10.708976904972051"/>
  </r>
  <r>
    <s v="O0635"/>
    <d v="2024-01-30T00:00:00"/>
    <s v="C015"/>
    <x v="0"/>
    <n v="2"/>
    <n v="18788"/>
    <n v="1863.73"/>
    <x v="8"/>
    <n v="2024"/>
    <s v="Q1"/>
    <n v="9.9197892271662766"/>
  </r>
  <r>
    <s v="O0636"/>
    <d v="2024-12-01T00:00:00"/>
    <s v="C023"/>
    <x v="5"/>
    <n v="1"/>
    <n v="8626"/>
    <n v="1377"/>
    <x v="10"/>
    <n v="2024"/>
    <s v="Q4"/>
    <n v="15.963366566195225"/>
  </r>
  <r>
    <s v="O0637"/>
    <d v="2024-09-27T00:00:00"/>
    <s v="C060"/>
    <x v="19"/>
    <n v="1"/>
    <n v="9101"/>
    <n v="1148.05"/>
    <x v="11"/>
    <n v="2024"/>
    <s v="Q3"/>
    <n v="12.614547851884408"/>
  </r>
  <r>
    <s v="O0638"/>
    <d v="2024-02-26T00:00:00"/>
    <s v="C061"/>
    <x v="14"/>
    <n v="3"/>
    <n v="21465"/>
    <n v="3890.19"/>
    <x v="0"/>
    <n v="2024"/>
    <s v="Q1"/>
    <n v="18.123410202655485"/>
  </r>
  <r>
    <s v="O0639"/>
    <d v="2024-07-18T00:00:00"/>
    <s v="C044"/>
    <x v="3"/>
    <n v="4"/>
    <n v="222780"/>
    <n v="53284.58"/>
    <x v="6"/>
    <n v="2024"/>
    <s v="Q3"/>
    <n v="23.918026752850345"/>
  </r>
  <r>
    <s v="O0640"/>
    <d v="2024-08-13T00:00:00"/>
    <s v="C038"/>
    <x v="5"/>
    <n v="2"/>
    <n v="17252"/>
    <n v="3777.86"/>
    <x v="5"/>
    <n v="2024"/>
    <s v="Q3"/>
    <n v="21.898098771156967"/>
  </r>
  <r>
    <s v="O0641"/>
    <d v="2024-08-11T00:00:00"/>
    <s v="C072"/>
    <x v="10"/>
    <n v="4"/>
    <n v="24100"/>
    <n v="3695.31"/>
    <x v="5"/>
    <n v="2024"/>
    <s v="Q3"/>
    <n v="15.333236514522822"/>
  </r>
  <r>
    <s v="O0642"/>
    <d v="2024-01-28T00:00:00"/>
    <s v="C076"/>
    <x v="2"/>
    <n v="2"/>
    <n v="109874"/>
    <n v="11607.66"/>
    <x v="8"/>
    <n v="2024"/>
    <s v="Q1"/>
    <n v="10.564519358537963"/>
  </r>
  <r>
    <s v="O0643"/>
    <d v="2024-10-30T00:00:00"/>
    <s v="C043"/>
    <x v="10"/>
    <n v="4"/>
    <n v="24100"/>
    <n v="2203.63"/>
    <x v="7"/>
    <n v="2024"/>
    <s v="Q4"/>
    <n v="9.143692946058092"/>
  </r>
  <r>
    <s v="O0644"/>
    <d v="2024-11-16T00:00:00"/>
    <s v="C041"/>
    <x v="8"/>
    <n v="2"/>
    <n v="48472"/>
    <n v="5075.1499999999996"/>
    <x v="4"/>
    <n v="2024"/>
    <s v="Q4"/>
    <n v="10.47027149694669"/>
  </r>
  <r>
    <s v="O0645"/>
    <d v="2024-12-26T00:00:00"/>
    <s v="C015"/>
    <x v="7"/>
    <n v="2"/>
    <n v="16724"/>
    <n v="2694.81"/>
    <x v="10"/>
    <n v="2024"/>
    <s v="Q4"/>
    <n v="16.113429801482898"/>
  </r>
  <r>
    <s v="O0646"/>
    <d v="2024-11-16T00:00:00"/>
    <s v="C030"/>
    <x v="10"/>
    <n v="5"/>
    <n v="30125"/>
    <n v="5111.03"/>
    <x v="4"/>
    <n v="2024"/>
    <s v="Q4"/>
    <n v="16.966074688796677"/>
  </r>
  <r>
    <s v="O0647"/>
    <d v="2024-03-11T00:00:00"/>
    <s v="C092"/>
    <x v="12"/>
    <n v="2"/>
    <n v="13494"/>
    <n v="1765.53"/>
    <x v="9"/>
    <n v="2024"/>
    <s v="Q1"/>
    <n v="13.083815028901736"/>
  </r>
  <r>
    <s v="O0648"/>
    <d v="2024-12-26T00:00:00"/>
    <s v="C083"/>
    <x v="1"/>
    <n v="4"/>
    <n v="35492"/>
    <n v="5790.77"/>
    <x v="10"/>
    <n v="2024"/>
    <s v="Q4"/>
    <n v="16.315704947593826"/>
  </r>
  <r>
    <s v="O0649"/>
    <d v="2024-07-07T00:00:00"/>
    <s v="C100"/>
    <x v="9"/>
    <n v="5"/>
    <n v="55780"/>
    <n v="5175.49"/>
    <x v="6"/>
    <n v="2024"/>
    <s v="Q3"/>
    <n v="9.2783972750089632"/>
  </r>
  <r>
    <s v="O0650"/>
    <d v="2024-08-15T00:00:00"/>
    <s v="C032"/>
    <x v="13"/>
    <n v="2"/>
    <n v="111900"/>
    <n v="26256.59"/>
    <x v="5"/>
    <n v="2024"/>
    <s v="Q3"/>
    <n v="23.464334226988381"/>
  </r>
  <r>
    <s v="O0651"/>
    <d v="2024-06-22T00:00:00"/>
    <s v="C066"/>
    <x v="8"/>
    <n v="3"/>
    <n v="72708"/>
    <n v="11083.9"/>
    <x v="3"/>
    <n v="2024"/>
    <s v="Q2"/>
    <n v="15.244402266600648"/>
  </r>
  <r>
    <s v="O0652"/>
    <d v="2024-01-29T00:00:00"/>
    <s v="C062"/>
    <x v="3"/>
    <n v="1"/>
    <n v="55695"/>
    <n v="10062.61"/>
    <x v="8"/>
    <n v="2024"/>
    <s v="Q1"/>
    <n v="18.067348954125148"/>
  </r>
  <r>
    <s v="O0653"/>
    <d v="2024-03-31T00:00:00"/>
    <s v="C100"/>
    <x v="13"/>
    <n v="5"/>
    <n v="279750"/>
    <n v="57708.33"/>
    <x v="9"/>
    <n v="2024"/>
    <s v="Q1"/>
    <n v="20.628536193029493"/>
  </r>
  <r>
    <s v="O0654"/>
    <d v="2024-05-22T00:00:00"/>
    <s v="C012"/>
    <x v="19"/>
    <n v="1"/>
    <n v="9101"/>
    <n v="765.33"/>
    <x v="1"/>
    <n v="2024"/>
    <s v="Q2"/>
    <n v="8.4092956817932087"/>
  </r>
  <r>
    <s v="O0655"/>
    <d v="2024-09-18T00:00:00"/>
    <s v="C025"/>
    <x v="15"/>
    <n v="4"/>
    <n v="44940"/>
    <n v="9047.1200000000008"/>
    <x v="11"/>
    <n v="2024"/>
    <s v="Q3"/>
    <n v="20.131553182020472"/>
  </r>
  <r>
    <s v="O0656"/>
    <d v="2024-02-23T00:00:00"/>
    <s v="C035"/>
    <x v="2"/>
    <n v="5"/>
    <n v="274685"/>
    <n v="39920.19"/>
    <x v="0"/>
    <n v="2024"/>
    <s v="Q1"/>
    <n v="14.533079709485412"/>
  </r>
  <r>
    <s v="O0657"/>
    <d v="2024-06-09T00:00:00"/>
    <s v="C091"/>
    <x v="1"/>
    <n v="4"/>
    <n v="35492"/>
    <n v="4295.95"/>
    <x v="3"/>
    <n v="2024"/>
    <s v="Q2"/>
    <n v="12.103995266538938"/>
  </r>
  <r>
    <s v="O0658"/>
    <d v="2024-07-12T00:00:00"/>
    <s v="C018"/>
    <x v="4"/>
    <n v="1"/>
    <n v="11342"/>
    <n v="2120.9899999999998"/>
    <x v="6"/>
    <n v="2024"/>
    <s v="Q3"/>
    <n v="18.700317404337856"/>
  </r>
  <r>
    <s v="O0659"/>
    <d v="2024-12-02T00:00:00"/>
    <s v="C082"/>
    <x v="9"/>
    <n v="3"/>
    <n v="33468"/>
    <n v="4640.3599999999997"/>
    <x v="10"/>
    <n v="2024"/>
    <s v="Q4"/>
    <n v="13.865065136847138"/>
  </r>
  <r>
    <s v="O0660"/>
    <d v="2024-01-06T00:00:00"/>
    <s v="C003"/>
    <x v="4"/>
    <n v="4"/>
    <n v="45368"/>
    <n v="6075.94"/>
    <x v="8"/>
    <n v="2024"/>
    <s v="Q1"/>
    <n v="13.392567448421794"/>
  </r>
  <r>
    <s v="O0661"/>
    <d v="2024-07-19T00:00:00"/>
    <s v="C098"/>
    <x v="7"/>
    <n v="3"/>
    <n v="25086"/>
    <n v="5928.9"/>
    <x v="6"/>
    <n v="2024"/>
    <s v="Q3"/>
    <n v="23.634298014828985"/>
  </r>
  <r>
    <s v="O0662"/>
    <d v="2024-08-16T00:00:00"/>
    <s v="C089"/>
    <x v="9"/>
    <n v="5"/>
    <n v="55780"/>
    <n v="12171.73"/>
    <x v="5"/>
    <n v="2024"/>
    <s v="Q3"/>
    <n v="21.820957332377194"/>
  </r>
  <r>
    <s v="O0663"/>
    <d v="2024-03-04T00:00:00"/>
    <s v="C088"/>
    <x v="6"/>
    <n v="4"/>
    <n v="100636"/>
    <n v="14999.89"/>
    <x v="9"/>
    <n v="2024"/>
    <s v="Q1"/>
    <n v="14.905093604674272"/>
  </r>
  <r>
    <s v="O0664"/>
    <d v="2024-10-12T00:00:00"/>
    <s v="C073"/>
    <x v="19"/>
    <n v="1"/>
    <n v="9101"/>
    <n v="2143.61"/>
    <x v="7"/>
    <n v="2024"/>
    <s v="Q4"/>
    <n v="23.553565542248105"/>
  </r>
  <r>
    <s v="O0665"/>
    <d v="2024-01-21T00:00:00"/>
    <s v="C077"/>
    <x v="17"/>
    <n v="3"/>
    <n v="162561"/>
    <n v="17857.05"/>
    <x v="8"/>
    <n v="2024"/>
    <s v="Q1"/>
    <n v="10.984830309852917"/>
  </r>
  <r>
    <s v="O0666"/>
    <d v="2024-07-29T00:00:00"/>
    <s v="C019"/>
    <x v="16"/>
    <n v="5"/>
    <n v="31100"/>
    <n v="6195"/>
    <x v="6"/>
    <n v="2024"/>
    <s v="Q3"/>
    <n v="19.919614147909968"/>
  </r>
  <r>
    <s v="O0667"/>
    <d v="2024-05-30T00:00:00"/>
    <s v="C083"/>
    <x v="12"/>
    <n v="5"/>
    <n v="33735"/>
    <n v="5389.43"/>
    <x v="1"/>
    <n v="2024"/>
    <s v="Q2"/>
    <n v="15.975781828961019"/>
  </r>
  <r>
    <s v="O0668"/>
    <d v="2024-01-18T00:00:00"/>
    <s v="C075"/>
    <x v="4"/>
    <n v="3"/>
    <n v="34026"/>
    <n v="7009.34"/>
    <x v="8"/>
    <n v="2024"/>
    <s v="Q1"/>
    <n v="20.599952977135132"/>
  </r>
  <r>
    <s v="O0669"/>
    <d v="2024-07-29T00:00:00"/>
    <s v="C100"/>
    <x v="1"/>
    <n v="5"/>
    <n v="44365"/>
    <n v="10640.65"/>
    <x v="6"/>
    <n v="2024"/>
    <s v="Q3"/>
    <n v="23.984334497915022"/>
  </r>
  <r>
    <s v="O0670"/>
    <d v="2024-10-22T00:00:00"/>
    <s v="C019"/>
    <x v="3"/>
    <n v="2"/>
    <n v="111390"/>
    <n v="17493.810000000001"/>
    <x v="7"/>
    <n v="2024"/>
    <s v="Q4"/>
    <n v="15.705009426339888"/>
  </r>
  <r>
    <s v="O0671"/>
    <d v="2024-02-10T00:00:00"/>
    <s v="C072"/>
    <x v="13"/>
    <n v="5"/>
    <n v="279750"/>
    <n v="64922.9"/>
    <x v="0"/>
    <n v="2024"/>
    <s v="Q1"/>
    <n v="23.207470956210905"/>
  </r>
  <r>
    <s v="O0672"/>
    <d v="2024-07-19T00:00:00"/>
    <s v="C078"/>
    <x v="8"/>
    <n v="5"/>
    <n v="121180"/>
    <n v="17788.939999999999"/>
    <x v="6"/>
    <n v="2024"/>
    <s v="Q3"/>
    <n v="14.679765637894041"/>
  </r>
  <r>
    <s v="O0673"/>
    <d v="2024-11-20T00:00:00"/>
    <s v="C063"/>
    <x v="9"/>
    <n v="3"/>
    <n v="33468"/>
    <n v="3585.42"/>
    <x v="4"/>
    <n v="2024"/>
    <s v="Q4"/>
    <n v="10.712979562567229"/>
  </r>
  <r>
    <s v="O0674"/>
    <d v="2024-01-05T00:00:00"/>
    <s v="C035"/>
    <x v="1"/>
    <n v="3"/>
    <n v="26619"/>
    <n v="2694.45"/>
    <x v="8"/>
    <n v="2024"/>
    <s v="Q1"/>
    <n v="10.1222810774259"/>
  </r>
  <r>
    <s v="O0675"/>
    <d v="2024-08-26T00:00:00"/>
    <s v="C016"/>
    <x v="6"/>
    <n v="4"/>
    <n v="100636"/>
    <n v="24247.1"/>
    <x v="5"/>
    <n v="2024"/>
    <s v="Q3"/>
    <n v="24.093863031122062"/>
  </r>
  <r>
    <s v="O0676"/>
    <d v="2024-02-25T00:00:00"/>
    <s v="C031"/>
    <x v="0"/>
    <n v="1"/>
    <n v="9394"/>
    <n v="1110.58"/>
    <x v="0"/>
    <n v="2024"/>
    <s v="Q1"/>
    <n v="11.822226953374495"/>
  </r>
  <r>
    <s v="O0677"/>
    <d v="2024-01-23T00:00:00"/>
    <s v="C013"/>
    <x v="9"/>
    <n v="5"/>
    <n v="55780"/>
    <n v="10697.8"/>
    <x v="8"/>
    <n v="2024"/>
    <s v="Q1"/>
    <n v="19.178558623162424"/>
  </r>
  <r>
    <s v="O0678"/>
    <d v="2024-02-28T00:00:00"/>
    <s v="C033"/>
    <x v="17"/>
    <n v="2"/>
    <n v="108374"/>
    <n v="23687.75"/>
    <x v="0"/>
    <n v="2024"/>
    <s v="Q1"/>
    <n v="21.857410449000682"/>
  </r>
  <r>
    <s v="O0679"/>
    <d v="2024-04-24T00:00:00"/>
    <s v="C007"/>
    <x v="1"/>
    <n v="5"/>
    <n v="44365"/>
    <n v="8256.3799999999992"/>
    <x v="2"/>
    <n v="2024"/>
    <s v="Q2"/>
    <n v="18.610120590555617"/>
  </r>
  <r>
    <s v="O0680"/>
    <d v="2024-03-28T00:00:00"/>
    <s v="C021"/>
    <x v="7"/>
    <n v="5"/>
    <n v="41810"/>
    <n v="6822.92"/>
    <x v="9"/>
    <n v="2024"/>
    <s v="Q1"/>
    <n v="16.318871083472853"/>
  </r>
  <r>
    <s v="O0681"/>
    <d v="2024-10-16T00:00:00"/>
    <s v="C046"/>
    <x v="4"/>
    <n v="4"/>
    <n v="45368"/>
    <n v="10005.66"/>
    <x v="7"/>
    <n v="2024"/>
    <s v="Q4"/>
    <n v="22.05444366073003"/>
  </r>
  <r>
    <s v="O0682"/>
    <d v="2024-02-06T00:00:00"/>
    <s v="C086"/>
    <x v="12"/>
    <n v="3"/>
    <n v="20241"/>
    <n v="3443.38"/>
    <x v="0"/>
    <n v="2024"/>
    <s v="Q1"/>
    <n v="17.011906526357393"/>
  </r>
  <r>
    <s v="O0683"/>
    <d v="2024-06-01T00:00:00"/>
    <s v="C081"/>
    <x v="9"/>
    <n v="1"/>
    <n v="11156"/>
    <n v="2425.1999999999998"/>
    <x v="3"/>
    <n v="2024"/>
    <s v="Q2"/>
    <n v="21.738974542846897"/>
  </r>
  <r>
    <s v="O0684"/>
    <d v="2024-12-05T00:00:00"/>
    <s v="C013"/>
    <x v="15"/>
    <n v="1"/>
    <n v="11235"/>
    <n v="900.06"/>
    <x v="10"/>
    <n v="2024"/>
    <s v="Q4"/>
    <n v="8.0112149532710273"/>
  </r>
  <r>
    <s v="O0685"/>
    <d v="2024-11-14T00:00:00"/>
    <s v="C007"/>
    <x v="2"/>
    <n v="5"/>
    <n v="274685"/>
    <n v="36216.9"/>
    <x v="4"/>
    <n v="2024"/>
    <s v="Q4"/>
    <n v="13.184884504068298"/>
  </r>
  <r>
    <s v="O0686"/>
    <d v="2024-11-26T00:00:00"/>
    <s v="C098"/>
    <x v="2"/>
    <n v="4"/>
    <n v="219748"/>
    <n v="31895.9"/>
    <x v="4"/>
    <n v="2024"/>
    <s v="Q4"/>
    <n v="14.514762364162587"/>
  </r>
  <r>
    <s v="O0687"/>
    <d v="2024-01-13T00:00:00"/>
    <s v="C029"/>
    <x v="16"/>
    <n v="2"/>
    <n v="12440"/>
    <n v="2073.13"/>
    <x v="8"/>
    <n v="2024"/>
    <s v="Q1"/>
    <n v="16.665032154340835"/>
  </r>
  <r>
    <s v="O0688"/>
    <d v="2024-12-10T00:00:00"/>
    <s v="C047"/>
    <x v="15"/>
    <n v="1"/>
    <n v="11235"/>
    <n v="2795.84"/>
    <x v="10"/>
    <n v="2024"/>
    <s v="Q4"/>
    <n v="24.885091232754785"/>
  </r>
  <r>
    <s v="O0689"/>
    <d v="2024-04-18T00:00:00"/>
    <s v="C020"/>
    <x v="2"/>
    <n v="1"/>
    <n v="54937"/>
    <n v="7880.66"/>
    <x v="2"/>
    <n v="2024"/>
    <s v="Q2"/>
    <n v="14.344904162950289"/>
  </r>
  <r>
    <s v="O0690"/>
    <d v="2024-11-10T00:00:00"/>
    <s v="C043"/>
    <x v="4"/>
    <n v="2"/>
    <n v="22684"/>
    <n v="3967.32"/>
    <x v="4"/>
    <n v="2024"/>
    <s v="Q4"/>
    <n v="17.489508023276318"/>
  </r>
  <r>
    <s v="O0691"/>
    <d v="2024-03-06T00:00:00"/>
    <s v="C001"/>
    <x v="0"/>
    <n v="4"/>
    <n v="37576"/>
    <n v="5298.25"/>
    <x v="9"/>
    <n v="2024"/>
    <s v="Q1"/>
    <n v="14.100090483287206"/>
  </r>
  <r>
    <s v="O0692"/>
    <d v="2024-08-13T00:00:00"/>
    <s v="C053"/>
    <x v="3"/>
    <n v="4"/>
    <n v="222780"/>
    <n v="51909.23"/>
    <x v="5"/>
    <n v="2024"/>
    <s v="Q3"/>
    <n v="23.30066882125864"/>
  </r>
  <r>
    <s v="O0693"/>
    <d v="2024-09-20T00:00:00"/>
    <s v="C015"/>
    <x v="2"/>
    <n v="1"/>
    <n v="54937"/>
    <n v="9320.19"/>
    <x v="11"/>
    <n v="2024"/>
    <s v="Q3"/>
    <n v="16.965232903143601"/>
  </r>
  <r>
    <s v="O0694"/>
    <d v="2024-05-03T00:00:00"/>
    <s v="C041"/>
    <x v="14"/>
    <n v="2"/>
    <n v="14310"/>
    <n v="1702.86"/>
    <x v="1"/>
    <n v="2024"/>
    <s v="Q2"/>
    <n v="11.89979035639413"/>
  </r>
  <r>
    <s v="O0695"/>
    <d v="2024-09-08T00:00:00"/>
    <s v="C049"/>
    <x v="10"/>
    <n v="3"/>
    <n v="18075"/>
    <n v="4123.2700000000004"/>
    <x v="11"/>
    <n v="2024"/>
    <s v="Q3"/>
    <n v="22.812005532503459"/>
  </r>
  <r>
    <s v="O0696"/>
    <d v="2024-09-04T00:00:00"/>
    <s v="C099"/>
    <x v="11"/>
    <n v="2"/>
    <n v="51216"/>
    <n v="7821.36"/>
    <x v="11"/>
    <n v="2024"/>
    <s v="Q3"/>
    <n v="15.271321462043112"/>
  </r>
  <r>
    <s v="O0697"/>
    <d v="2024-02-25T00:00:00"/>
    <s v="C012"/>
    <x v="11"/>
    <n v="3"/>
    <n v="76824"/>
    <n v="7451.32"/>
    <x v="0"/>
    <n v="2024"/>
    <s v="Q1"/>
    <n v="9.6992085806518791"/>
  </r>
  <r>
    <s v="O0698"/>
    <d v="2024-08-13T00:00:00"/>
    <s v="C055"/>
    <x v="1"/>
    <n v="2"/>
    <n v="17746"/>
    <n v="1765.79"/>
    <x v="5"/>
    <n v="2024"/>
    <s v="Q3"/>
    <n v="9.9503550095796225"/>
  </r>
  <r>
    <s v="O0699"/>
    <d v="2024-07-06T00:00:00"/>
    <s v="C067"/>
    <x v="14"/>
    <n v="2"/>
    <n v="14310"/>
    <n v="1668.81"/>
    <x v="6"/>
    <n v="2024"/>
    <s v="Q3"/>
    <n v="11.661844863731655"/>
  </r>
  <r>
    <s v="O0700"/>
    <d v="2024-10-17T00:00:00"/>
    <s v="C091"/>
    <x v="3"/>
    <n v="3"/>
    <n v="167085"/>
    <n v="34583.230000000003"/>
    <x v="7"/>
    <n v="2024"/>
    <s v="Q4"/>
    <n v="20.697986055001945"/>
  </r>
  <r>
    <s v="O0701"/>
    <d v="2024-09-03T00:00:00"/>
    <s v="C097"/>
    <x v="13"/>
    <n v="1"/>
    <n v="55950"/>
    <n v="6581.2"/>
    <x v="11"/>
    <n v="2024"/>
    <s v="Q3"/>
    <n v="11.762645218945487"/>
  </r>
  <r>
    <s v="O0702"/>
    <d v="2024-01-09T00:00:00"/>
    <s v="C100"/>
    <x v="4"/>
    <n v="5"/>
    <n v="56710"/>
    <n v="4690.5200000000004"/>
    <x v="8"/>
    <n v="2024"/>
    <s v="Q1"/>
    <n v="8.2710633045318289"/>
  </r>
  <r>
    <s v="O0703"/>
    <d v="2024-04-27T00:00:00"/>
    <s v="C023"/>
    <x v="14"/>
    <n v="3"/>
    <n v="21465"/>
    <n v="4062.64"/>
    <x v="2"/>
    <n v="2024"/>
    <s v="Q2"/>
    <n v="18.926811087817377"/>
  </r>
  <r>
    <s v="O0704"/>
    <d v="2024-07-08T00:00:00"/>
    <s v="C010"/>
    <x v="17"/>
    <n v="3"/>
    <n v="162561"/>
    <n v="32023.35"/>
    <x v="6"/>
    <n v="2024"/>
    <s v="Q3"/>
    <n v="19.699282115636592"/>
  </r>
  <r>
    <s v="O0705"/>
    <d v="2024-07-19T00:00:00"/>
    <s v="C097"/>
    <x v="14"/>
    <n v="1"/>
    <n v="7155"/>
    <n v="1742.8"/>
    <x v="6"/>
    <n v="2024"/>
    <s v="Q3"/>
    <n v="24.357791754018169"/>
  </r>
  <r>
    <s v="O0706"/>
    <d v="2024-07-29T00:00:00"/>
    <s v="C044"/>
    <x v="8"/>
    <n v="3"/>
    <n v="72708"/>
    <n v="14274.47"/>
    <x v="6"/>
    <n v="2024"/>
    <s v="Q3"/>
    <n v="19.632598888705505"/>
  </r>
  <r>
    <s v="O0707"/>
    <d v="2024-11-10T00:00:00"/>
    <s v="C044"/>
    <x v="8"/>
    <n v="3"/>
    <n v="72708"/>
    <n v="17500.169999999998"/>
    <x v="4"/>
    <n v="2024"/>
    <s v="Q4"/>
    <n v="24.069112064697144"/>
  </r>
  <r>
    <s v="O0708"/>
    <d v="2024-08-11T00:00:00"/>
    <s v="C036"/>
    <x v="10"/>
    <n v="5"/>
    <n v="30125"/>
    <n v="2794.28"/>
    <x v="5"/>
    <n v="2024"/>
    <s v="Q3"/>
    <n v="9.2756182572614119"/>
  </r>
  <r>
    <s v="O0709"/>
    <d v="2024-05-24T00:00:00"/>
    <s v="C029"/>
    <x v="4"/>
    <n v="4"/>
    <n v="45368"/>
    <n v="10423.23"/>
    <x v="1"/>
    <n v="2024"/>
    <s v="Q2"/>
    <n v="22.974850114618231"/>
  </r>
  <r>
    <s v="O0710"/>
    <d v="2024-01-28T00:00:00"/>
    <s v="C092"/>
    <x v="19"/>
    <n v="1"/>
    <n v="9101"/>
    <n v="1648.2"/>
    <x v="8"/>
    <n v="2024"/>
    <s v="Q1"/>
    <n v="18.110097791451491"/>
  </r>
  <r>
    <s v="O0711"/>
    <d v="2024-10-01T00:00:00"/>
    <s v="C022"/>
    <x v="4"/>
    <n v="2"/>
    <n v="22684"/>
    <n v="4795.7"/>
    <x v="7"/>
    <n v="2024"/>
    <s v="Q4"/>
    <n v="21.141333098219008"/>
  </r>
  <r>
    <s v="O0712"/>
    <d v="2024-01-03T00:00:00"/>
    <s v="C057"/>
    <x v="16"/>
    <n v="4"/>
    <n v="24880"/>
    <n v="3675.79"/>
    <x v="8"/>
    <n v="2024"/>
    <s v="Q1"/>
    <n v="14.774075562700965"/>
  </r>
  <r>
    <s v="O0713"/>
    <d v="2024-04-16T00:00:00"/>
    <s v="C009"/>
    <x v="1"/>
    <n v="2"/>
    <n v="17746"/>
    <n v="3624.87"/>
    <x v="2"/>
    <n v="2024"/>
    <s v="Q2"/>
    <n v="20.426405950636763"/>
  </r>
  <r>
    <s v="O0714"/>
    <d v="2024-11-26T00:00:00"/>
    <s v="C061"/>
    <x v="1"/>
    <n v="4"/>
    <n v="35492"/>
    <n v="3435.93"/>
    <x v="4"/>
    <n v="2024"/>
    <s v="Q4"/>
    <n v="9.6808576580637897"/>
  </r>
  <r>
    <s v="O0715"/>
    <d v="2024-10-12T00:00:00"/>
    <s v="C022"/>
    <x v="18"/>
    <n v="2"/>
    <n v="108768"/>
    <n v="20833.53"/>
    <x v="7"/>
    <n v="2024"/>
    <s v="Q4"/>
    <n v="19.154098631950571"/>
  </r>
  <r>
    <s v="O0716"/>
    <d v="2024-03-12T00:00:00"/>
    <s v="C100"/>
    <x v="9"/>
    <n v="3"/>
    <n v="33468"/>
    <n v="4344.49"/>
    <x v="9"/>
    <n v="2024"/>
    <s v="Q1"/>
    <n v="12.981026652324609"/>
  </r>
  <r>
    <s v="O0717"/>
    <d v="2024-08-11T00:00:00"/>
    <s v="C033"/>
    <x v="11"/>
    <n v="3"/>
    <n v="76824"/>
    <n v="12362.35"/>
    <x v="5"/>
    <n v="2024"/>
    <s v="Q3"/>
    <n v="16.091781214203895"/>
  </r>
  <r>
    <s v="O0718"/>
    <d v="2024-01-21T00:00:00"/>
    <s v="C043"/>
    <x v="11"/>
    <n v="3"/>
    <n v="76824"/>
    <n v="8900.2999999999993"/>
    <x v="8"/>
    <n v="2024"/>
    <s v="Q1"/>
    <n v="11.585311881703634"/>
  </r>
  <r>
    <s v="O0719"/>
    <d v="2024-06-02T00:00:00"/>
    <s v="C040"/>
    <x v="11"/>
    <n v="5"/>
    <n v="128040"/>
    <n v="16656.37"/>
    <x v="3"/>
    <n v="2024"/>
    <s v="Q2"/>
    <n v="13.008723836301156"/>
  </r>
  <r>
    <s v="O0720"/>
    <d v="2024-06-20T00:00:00"/>
    <s v="C034"/>
    <x v="12"/>
    <n v="3"/>
    <n v="20241"/>
    <n v="2524.69"/>
    <x v="3"/>
    <n v="2024"/>
    <s v="Q2"/>
    <n v="12.473148559853762"/>
  </r>
  <r>
    <s v="O0721"/>
    <d v="2024-08-14T00:00:00"/>
    <s v="C020"/>
    <x v="2"/>
    <n v="4"/>
    <n v="219748"/>
    <n v="50512.29"/>
    <x v="5"/>
    <n v="2024"/>
    <s v="Q3"/>
    <n v="22.986461765294795"/>
  </r>
  <r>
    <s v="O0722"/>
    <d v="2024-07-15T00:00:00"/>
    <s v="C085"/>
    <x v="18"/>
    <n v="2"/>
    <n v="108768"/>
    <n v="25249.439999999999"/>
    <x v="6"/>
    <n v="2024"/>
    <s v="Q3"/>
    <n v="23.214033539276258"/>
  </r>
  <r>
    <s v="O0723"/>
    <d v="2024-06-11T00:00:00"/>
    <s v="C006"/>
    <x v="5"/>
    <n v="5"/>
    <n v="43130"/>
    <n v="4958.97"/>
    <x v="3"/>
    <n v="2024"/>
    <s v="Q2"/>
    <n v="11.497727799675401"/>
  </r>
  <r>
    <s v="O0724"/>
    <d v="2024-02-25T00:00:00"/>
    <s v="C007"/>
    <x v="11"/>
    <n v="3"/>
    <n v="76824"/>
    <n v="6670.34"/>
    <x v="0"/>
    <n v="2024"/>
    <s v="Q1"/>
    <n v="8.682625221285015"/>
  </r>
  <r>
    <s v="O0725"/>
    <d v="2024-06-25T00:00:00"/>
    <s v="C080"/>
    <x v="3"/>
    <n v="2"/>
    <n v="111390"/>
    <n v="26359.31"/>
    <x v="3"/>
    <n v="2024"/>
    <s v="Q2"/>
    <n v="23.663982404165544"/>
  </r>
  <r>
    <s v="O0726"/>
    <d v="2024-12-30T00:00:00"/>
    <s v="C031"/>
    <x v="4"/>
    <n v="3"/>
    <n v="34026"/>
    <n v="5724.9"/>
    <x v="10"/>
    <n v="2024"/>
    <s v="Q4"/>
    <n v="16.825074942690883"/>
  </r>
  <r>
    <s v="O0727"/>
    <d v="2024-01-10T00:00:00"/>
    <s v="C031"/>
    <x v="11"/>
    <n v="1"/>
    <n v="25608"/>
    <n v="2190.88"/>
    <x v="8"/>
    <n v="2024"/>
    <s v="Q1"/>
    <n v="8.5554514214308028"/>
  </r>
  <r>
    <s v="O0728"/>
    <d v="2024-05-23T00:00:00"/>
    <s v="C084"/>
    <x v="15"/>
    <n v="1"/>
    <n v="11235"/>
    <n v="1220.57"/>
    <x v="1"/>
    <n v="2024"/>
    <s v="Q2"/>
    <n v="10.863996439697374"/>
  </r>
  <r>
    <s v="O0729"/>
    <d v="2024-08-07T00:00:00"/>
    <s v="C086"/>
    <x v="4"/>
    <n v="2"/>
    <n v="22684"/>
    <n v="5100.6400000000003"/>
    <x v="5"/>
    <n v="2024"/>
    <s v="Q3"/>
    <n v="22.485628636924705"/>
  </r>
  <r>
    <s v="O0730"/>
    <d v="2024-07-18T00:00:00"/>
    <s v="C038"/>
    <x v="12"/>
    <n v="1"/>
    <n v="6747"/>
    <n v="584.37"/>
    <x v="6"/>
    <n v="2024"/>
    <s v="Q3"/>
    <n v="8.6611827478879508"/>
  </r>
  <r>
    <s v="O0731"/>
    <d v="2024-01-26T00:00:00"/>
    <s v="C070"/>
    <x v="6"/>
    <n v="4"/>
    <n v="100636"/>
    <n v="12975.76"/>
    <x v="8"/>
    <n v="2024"/>
    <s v="Q1"/>
    <n v="12.893755713661115"/>
  </r>
  <r>
    <s v="O0732"/>
    <d v="2024-09-06T00:00:00"/>
    <s v="C030"/>
    <x v="3"/>
    <n v="4"/>
    <n v="222780"/>
    <n v="40086.69"/>
    <x v="11"/>
    <n v="2024"/>
    <s v="Q3"/>
    <n v="17.993845946673851"/>
  </r>
  <r>
    <s v="O0733"/>
    <d v="2024-02-15T00:00:00"/>
    <s v="C077"/>
    <x v="14"/>
    <n v="5"/>
    <n v="35775"/>
    <n v="5971.96"/>
    <x v="0"/>
    <n v="2024"/>
    <s v="Q1"/>
    <n v="16.693109713487072"/>
  </r>
  <r>
    <s v="O0734"/>
    <d v="2024-04-30T00:00:00"/>
    <s v="C044"/>
    <x v="1"/>
    <n v="2"/>
    <n v="17746"/>
    <n v="3773.64"/>
    <x v="2"/>
    <n v="2024"/>
    <s v="Q2"/>
    <n v="21.264735715090723"/>
  </r>
  <r>
    <s v="O0735"/>
    <d v="2024-08-02T00:00:00"/>
    <s v="C067"/>
    <x v="18"/>
    <n v="1"/>
    <n v="54384"/>
    <n v="11769.6"/>
    <x v="5"/>
    <n v="2024"/>
    <s v="Q3"/>
    <n v="21.641659311562226"/>
  </r>
  <r>
    <s v="O0736"/>
    <d v="2024-01-01T00:00:00"/>
    <s v="C087"/>
    <x v="1"/>
    <n v="2"/>
    <n v="17746"/>
    <n v="2190.92"/>
    <x v="8"/>
    <n v="2024"/>
    <s v="Q1"/>
    <n v="12.345993463315677"/>
  </r>
  <r>
    <s v="O0737"/>
    <d v="2024-04-02T00:00:00"/>
    <s v="C037"/>
    <x v="9"/>
    <n v="3"/>
    <n v="33468"/>
    <n v="7120.32"/>
    <x v="2"/>
    <n v="2024"/>
    <s v="Q2"/>
    <n v="21.275008963786302"/>
  </r>
  <r>
    <s v="O0738"/>
    <d v="2024-06-05T00:00:00"/>
    <s v="C080"/>
    <x v="2"/>
    <n v="4"/>
    <n v="219748"/>
    <n v="43517.04"/>
    <x v="3"/>
    <n v="2024"/>
    <s v="Q2"/>
    <n v="19.803156342719845"/>
  </r>
  <r>
    <s v="O0739"/>
    <d v="2024-05-10T00:00:00"/>
    <s v="C013"/>
    <x v="16"/>
    <n v="1"/>
    <n v="6220"/>
    <n v="1002.21"/>
    <x v="1"/>
    <n v="2024"/>
    <s v="Q2"/>
    <n v="16.112700964630225"/>
  </r>
  <r>
    <s v="O0740"/>
    <d v="2024-07-23T00:00:00"/>
    <s v="C071"/>
    <x v="14"/>
    <n v="2"/>
    <n v="14310"/>
    <n v="1247.33"/>
    <x v="6"/>
    <n v="2024"/>
    <s v="Q3"/>
    <n v="8.7164919636617739"/>
  </r>
  <r>
    <s v="O0741"/>
    <d v="2024-01-02T00:00:00"/>
    <s v="C071"/>
    <x v="19"/>
    <n v="5"/>
    <n v="45505"/>
    <n v="7533.67"/>
    <x v="8"/>
    <n v="2024"/>
    <s v="Q1"/>
    <n v="16.55569717613449"/>
  </r>
  <r>
    <s v="O0742"/>
    <d v="2024-03-23T00:00:00"/>
    <s v="C094"/>
    <x v="1"/>
    <n v="3"/>
    <n v="26619"/>
    <n v="2567.6"/>
    <x v="9"/>
    <n v="2024"/>
    <s v="Q1"/>
    <n v="9.6457417634020803"/>
  </r>
  <r>
    <s v="O0743"/>
    <d v="2024-12-25T00:00:00"/>
    <s v="C077"/>
    <x v="14"/>
    <n v="1"/>
    <n v="7155"/>
    <n v="785.05"/>
    <x v="10"/>
    <n v="2024"/>
    <s v="Q4"/>
    <n v="10.97204751921733"/>
  </r>
  <r>
    <s v="O0744"/>
    <d v="2024-01-12T00:00:00"/>
    <s v="C088"/>
    <x v="8"/>
    <n v="4"/>
    <n v="96944"/>
    <n v="16502.97"/>
    <x v="8"/>
    <n v="2024"/>
    <s v="Q1"/>
    <n v="17.023198960224462"/>
  </r>
  <r>
    <s v="O0745"/>
    <d v="2024-09-27T00:00:00"/>
    <s v="C029"/>
    <x v="1"/>
    <n v="1"/>
    <n v="8873"/>
    <n v="1723.06"/>
    <x v="11"/>
    <n v="2024"/>
    <s v="Q3"/>
    <n v="19.419136706863519"/>
  </r>
  <r>
    <s v="O0746"/>
    <d v="2024-07-21T00:00:00"/>
    <s v="C054"/>
    <x v="4"/>
    <n v="2"/>
    <n v="22684"/>
    <n v="2020.57"/>
    <x v="6"/>
    <n v="2024"/>
    <s v="Q3"/>
    <n v="8.9074678187268557"/>
  </r>
  <r>
    <s v="O0747"/>
    <d v="2024-02-16T00:00:00"/>
    <s v="C084"/>
    <x v="17"/>
    <n v="2"/>
    <n v="108374"/>
    <n v="11602.58"/>
    <x v="0"/>
    <n v="2024"/>
    <s v="Q1"/>
    <n v="10.706054957831213"/>
  </r>
  <r>
    <s v="O0748"/>
    <d v="2024-12-06T00:00:00"/>
    <s v="C079"/>
    <x v="15"/>
    <n v="5"/>
    <n v="56175"/>
    <n v="9692.9699999999993"/>
    <x v="10"/>
    <n v="2024"/>
    <s v="Q4"/>
    <n v="17.254953271028036"/>
  </r>
  <r>
    <s v="O0749"/>
    <d v="2024-05-10T00:00:00"/>
    <s v="C086"/>
    <x v="2"/>
    <n v="2"/>
    <n v="109874"/>
    <n v="18259.91"/>
    <x v="1"/>
    <n v="2024"/>
    <s v="Q2"/>
    <n v="16.618954438720714"/>
  </r>
  <r>
    <s v="O0750"/>
    <d v="2024-12-30T00:00:00"/>
    <s v="C050"/>
    <x v="0"/>
    <n v="3"/>
    <n v="28182"/>
    <n v="5222.3999999999996"/>
    <x v="10"/>
    <n v="2024"/>
    <s v="Q4"/>
    <n v="18.530977219501811"/>
  </r>
  <r>
    <s v="O0751"/>
    <d v="2024-05-21T00:00:00"/>
    <s v="C019"/>
    <x v="2"/>
    <n v="3"/>
    <n v="164811"/>
    <n v="29390.21"/>
    <x v="1"/>
    <n v="2024"/>
    <s v="Q2"/>
    <n v="17.832675003488845"/>
  </r>
  <r>
    <s v="O0752"/>
    <d v="2024-01-12T00:00:00"/>
    <s v="C065"/>
    <x v="0"/>
    <n v="2"/>
    <n v="18788"/>
    <n v="3218.51"/>
    <x v="8"/>
    <n v="2024"/>
    <s v="Q1"/>
    <n v="17.130668511816054"/>
  </r>
  <r>
    <s v="O0753"/>
    <d v="2024-06-13T00:00:00"/>
    <s v="C014"/>
    <x v="14"/>
    <n v="3"/>
    <n v="21465"/>
    <n v="2332.89"/>
    <x v="3"/>
    <n v="2024"/>
    <s v="Q2"/>
    <n v="10.868343815513626"/>
  </r>
  <r>
    <s v="O0754"/>
    <d v="2024-07-17T00:00:00"/>
    <s v="C029"/>
    <x v="12"/>
    <n v="1"/>
    <n v="6747"/>
    <n v="1237.69"/>
    <x v="6"/>
    <n v="2024"/>
    <s v="Q3"/>
    <n v="18.344301170890766"/>
  </r>
  <r>
    <s v="O0755"/>
    <d v="2024-07-11T00:00:00"/>
    <s v="C034"/>
    <x v="2"/>
    <n v="2"/>
    <n v="109874"/>
    <n v="20654.900000000001"/>
    <x v="6"/>
    <n v="2024"/>
    <s v="Q3"/>
    <n v="18.798714891603112"/>
  </r>
  <r>
    <s v="O0756"/>
    <d v="2024-08-11T00:00:00"/>
    <s v="C006"/>
    <x v="9"/>
    <n v="2"/>
    <n v="22312"/>
    <n v="4514.3900000000003"/>
    <x v="5"/>
    <n v="2024"/>
    <s v="Q3"/>
    <n v="20.233013624955181"/>
  </r>
  <r>
    <s v="O0757"/>
    <d v="2024-07-01T00:00:00"/>
    <s v="C039"/>
    <x v="10"/>
    <n v="4"/>
    <n v="24100"/>
    <n v="5118.6099999999997"/>
    <x v="6"/>
    <n v="2024"/>
    <s v="Q3"/>
    <n v="21.239045643153524"/>
  </r>
  <r>
    <s v="O0758"/>
    <d v="2024-05-15T00:00:00"/>
    <s v="C080"/>
    <x v="14"/>
    <n v="3"/>
    <n v="21465"/>
    <n v="5055.32"/>
    <x v="1"/>
    <n v="2024"/>
    <s v="Q2"/>
    <n v="23.551455858374094"/>
  </r>
  <r>
    <s v="O0759"/>
    <d v="2024-07-01T00:00:00"/>
    <s v="C062"/>
    <x v="4"/>
    <n v="2"/>
    <n v="22684"/>
    <n v="4842.4799999999996"/>
    <x v="6"/>
    <n v="2024"/>
    <s v="Q3"/>
    <n v="21.347557749955914"/>
  </r>
  <r>
    <s v="O0760"/>
    <d v="2024-02-08T00:00:00"/>
    <s v="C019"/>
    <x v="1"/>
    <n v="1"/>
    <n v="8873"/>
    <n v="818.82"/>
    <x v="0"/>
    <n v="2024"/>
    <s v="Q1"/>
    <n v="9.2282204440437283"/>
  </r>
  <r>
    <s v="O0761"/>
    <d v="2024-06-06T00:00:00"/>
    <s v="C100"/>
    <x v="18"/>
    <n v="2"/>
    <n v="108768"/>
    <n v="17093.169999999998"/>
    <x v="3"/>
    <n v="2024"/>
    <s v="Q2"/>
    <n v="15.71525632538982"/>
  </r>
  <r>
    <s v="O0762"/>
    <d v="2024-12-18T00:00:00"/>
    <s v="C006"/>
    <x v="2"/>
    <n v="3"/>
    <n v="164811"/>
    <n v="36819.629999999997"/>
    <x v="10"/>
    <n v="2024"/>
    <s v="Q4"/>
    <n v="22.340517319839087"/>
  </r>
  <r>
    <s v="O0763"/>
    <d v="2024-08-08T00:00:00"/>
    <s v="C087"/>
    <x v="4"/>
    <n v="4"/>
    <n v="45368"/>
    <n v="9679.2099999999991"/>
    <x v="5"/>
    <n v="2024"/>
    <s v="Q3"/>
    <n v="21.334883618409449"/>
  </r>
  <r>
    <s v="O0764"/>
    <d v="2024-04-09T00:00:00"/>
    <s v="C055"/>
    <x v="10"/>
    <n v="5"/>
    <n v="30125"/>
    <n v="6098.36"/>
    <x v="2"/>
    <n v="2024"/>
    <s v="Q2"/>
    <n v="20.243518672199169"/>
  </r>
  <r>
    <s v="O0765"/>
    <d v="2024-02-19T00:00:00"/>
    <s v="C095"/>
    <x v="17"/>
    <n v="4"/>
    <n v="216748"/>
    <n v="27997.33"/>
    <x v="0"/>
    <n v="2024"/>
    <s v="Q1"/>
    <n v="12.916995773894108"/>
  </r>
  <r>
    <s v="O0766"/>
    <d v="2024-10-18T00:00:00"/>
    <s v="C011"/>
    <x v="12"/>
    <n v="3"/>
    <n v="20241"/>
    <n v="4764.21"/>
    <x v="7"/>
    <n v="2024"/>
    <s v="Q4"/>
    <n v="23.537424040314214"/>
  </r>
  <r>
    <s v="O0767"/>
    <d v="2024-07-11T00:00:00"/>
    <s v="C055"/>
    <x v="1"/>
    <n v="1"/>
    <n v="8873"/>
    <n v="1976.48"/>
    <x v="6"/>
    <n v="2024"/>
    <s v="Q3"/>
    <n v="22.27521695029866"/>
  </r>
  <r>
    <s v="O0768"/>
    <d v="2024-04-27T00:00:00"/>
    <s v="C007"/>
    <x v="17"/>
    <n v="5"/>
    <n v="270935"/>
    <n v="30935.9"/>
    <x v="2"/>
    <n v="2024"/>
    <s v="Q2"/>
    <n v="11.418199937254323"/>
  </r>
  <r>
    <s v="O0769"/>
    <d v="2024-03-09T00:00:00"/>
    <s v="C089"/>
    <x v="18"/>
    <n v="4"/>
    <n v="217536"/>
    <n v="23796.87"/>
    <x v="9"/>
    <n v="2024"/>
    <s v="Q1"/>
    <n v="10.939279015887026"/>
  </r>
  <r>
    <s v="O0770"/>
    <d v="2024-06-14T00:00:00"/>
    <s v="C029"/>
    <x v="4"/>
    <n v="1"/>
    <n v="11342"/>
    <n v="2242.8200000000002"/>
    <x v="3"/>
    <n v="2024"/>
    <s v="Q2"/>
    <n v="19.774466584376654"/>
  </r>
  <r>
    <s v="O0771"/>
    <d v="2024-09-04T00:00:00"/>
    <s v="C065"/>
    <x v="15"/>
    <n v="2"/>
    <n v="22470"/>
    <n v="3243.08"/>
    <x v="11"/>
    <n v="2024"/>
    <s v="Q3"/>
    <n v="14.43293279928794"/>
  </r>
  <r>
    <s v="O0772"/>
    <d v="2024-12-14T00:00:00"/>
    <s v="C073"/>
    <x v="12"/>
    <n v="1"/>
    <n v="6747"/>
    <n v="1117.44"/>
    <x v="10"/>
    <n v="2024"/>
    <s v="Q4"/>
    <n v="16.562027567807917"/>
  </r>
  <r>
    <s v="O0773"/>
    <d v="2024-10-12T00:00:00"/>
    <s v="C032"/>
    <x v="13"/>
    <n v="1"/>
    <n v="55950"/>
    <n v="7079.21"/>
    <x v="7"/>
    <n v="2024"/>
    <s v="Q4"/>
    <n v="12.652743521000895"/>
  </r>
  <r>
    <s v="O0774"/>
    <d v="2024-04-19T00:00:00"/>
    <s v="C002"/>
    <x v="19"/>
    <n v="3"/>
    <n v="27303"/>
    <n v="3509.22"/>
    <x v="2"/>
    <n v="2024"/>
    <s v="Q2"/>
    <n v="12.852873310625204"/>
  </r>
  <r>
    <s v="O0775"/>
    <d v="2024-03-21T00:00:00"/>
    <s v="C007"/>
    <x v="16"/>
    <n v="2"/>
    <n v="12440"/>
    <n v="1264.69"/>
    <x v="9"/>
    <n v="2024"/>
    <s v="Q1"/>
    <n v="10.166318327974277"/>
  </r>
  <r>
    <s v="O0776"/>
    <d v="2024-03-07T00:00:00"/>
    <s v="C076"/>
    <x v="17"/>
    <n v="3"/>
    <n v="162561"/>
    <n v="34153.93"/>
    <x v="9"/>
    <n v="2024"/>
    <s v="Q1"/>
    <n v="21.009916277581954"/>
  </r>
  <r>
    <s v="O0777"/>
    <d v="2024-04-20T00:00:00"/>
    <s v="C010"/>
    <x v="14"/>
    <n v="2"/>
    <n v="14310"/>
    <n v="2609.36"/>
    <x v="2"/>
    <n v="2024"/>
    <s v="Q2"/>
    <n v="18.234521313766596"/>
  </r>
  <r>
    <s v="O0778"/>
    <d v="2024-02-02T00:00:00"/>
    <s v="C051"/>
    <x v="7"/>
    <n v="4"/>
    <n v="33448"/>
    <n v="3660.22"/>
    <x v="0"/>
    <n v="2024"/>
    <s v="Q1"/>
    <n v="10.943016024874431"/>
  </r>
  <r>
    <s v="O0779"/>
    <d v="2024-03-18T00:00:00"/>
    <s v="C064"/>
    <x v="0"/>
    <n v="2"/>
    <n v="18788"/>
    <n v="1735.43"/>
    <x v="9"/>
    <n v="2024"/>
    <s v="Q1"/>
    <n v="9.2369065360868632"/>
  </r>
  <r>
    <s v="O0780"/>
    <d v="2024-03-16T00:00:00"/>
    <s v="C032"/>
    <x v="14"/>
    <n v="5"/>
    <n v="35775"/>
    <n v="6594.92"/>
    <x v="9"/>
    <n v="2024"/>
    <s v="Q1"/>
    <n v="18.434437456324247"/>
  </r>
  <r>
    <s v="O0781"/>
    <d v="2024-10-20T00:00:00"/>
    <s v="C071"/>
    <x v="2"/>
    <n v="1"/>
    <n v="54937"/>
    <n v="13655.71"/>
    <x v="7"/>
    <n v="2024"/>
    <s v="Q4"/>
    <n v="24.857036241513004"/>
  </r>
  <r>
    <s v="O0782"/>
    <d v="2024-04-01T00:00:00"/>
    <s v="C048"/>
    <x v="5"/>
    <n v="3"/>
    <n v="25878"/>
    <n v="4394.2700000000004"/>
    <x v="2"/>
    <n v="2024"/>
    <s v="Q2"/>
    <n v="16.980717211531033"/>
  </r>
  <r>
    <s v="O0783"/>
    <d v="2024-10-12T00:00:00"/>
    <s v="C085"/>
    <x v="8"/>
    <n v="4"/>
    <n v="96944"/>
    <n v="14900.56"/>
    <x v="7"/>
    <n v="2024"/>
    <s v="Q4"/>
    <n v="15.370275623040106"/>
  </r>
  <r>
    <s v="O0784"/>
    <d v="2024-10-10T00:00:00"/>
    <s v="C074"/>
    <x v="7"/>
    <n v="2"/>
    <n v="16724"/>
    <n v="3974.97"/>
    <x v="7"/>
    <n v="2024"/>
    <s v="Q4"/>
    <n v="23.768057880889735"/>
  </r>
  <r>
    <s v="O0785"/>
    <d v="2024-07-07T00:00:00"/>
    <s v="C076"/>
    <x v="6"/>
    <n v="4"/>
    <n v="100636"/>
    <n v="20737.82"/>
    <x v="6"/>
    <n v="2024"/>
    <s v="Q3"/>
    <n v="20.606761000039747"/>
  </r>
  <r>
    <s v="O0786"/>
    <d v="2024-06-19T00:00:00"/>
    <s v="C029"/>
    <x v="15"/>
    <n v="5"/>
    <n v="56175"/>
    <n v="13570.63"/>
    <x v="3"/>
    <n v="2024"/>
    <s v="Q2"/>
    <n v="24.157774810858921"/>
  </r>
  <r>
    <s v="O0787"/>
    <d v="2024-01-25T00:00:00"/>
    <s v="C086"/>
    <x v="8"/>
    <n v="2"/>
    <n v="48472"/>
    <n v="4308.96"/>
    <x v="8"/>
    <n v="2024"/>
    <s v="Q1"/>
    <n v="8.8895857402211593"/>
  </r>
  <r>
    <s v="O0788"/>
    <d v="2024-08-26T00:00:00"/>
    <s v="C048"/>
    <x v="4"/>
    <n v="4"/>
    <n v="45368"/>
    <n v="4875.17"/>
    <x v="5"/>
    <n v="2024"/>
    <s v="Q3"/>
    <n v="10.745834068065598"/>
  </r>
  <r>
    <s v="O0789"/>
    <d v="2024-04-12T00:00:00"/>
    <s v="C074"/>
    <x v="10"/>
    <n v="3"/>
    <n v="18075"/>
    <n v="1926.07"/>
    <x v="2"/>
    <n v="2024"/>
    <s v="Q2"/>
    <n v="10.655988934993085"/>
  </r>
  <r>
    <s v="O0790"/>
    <d v="2024-04-16T00:00:00"/>
    <s v="C070"/>
    <x v="18"/>
    <n v="5"/>
    <n v="271920"/>
    <n v="34797.21"/>
    <x v="2"/>
    <n v="2024"/>
    <s v="Q2"/>
    <n v="12.796855692850839"/>
  </r>
  <r>
    <s v="O0791"/>
    <d v="2024-12-06T00:00:00"/>
    <s v="C017"/>
    <x v="4"/>
    <n v="2"/>
    <n v="22684"/>
    <n v="2904.78"/>
    <x v="10"/>
    <n v="2024"/>
    <s v="Q4"/>
    <n v="12.805413507317933"/>
  </r>
  <r>
    <s v="O0792"/>
    <d v="2024-12-09T00:00:00"/>
    <s v="C012"/>
    <x v="0"/>
    <n v="4"/>
    <n v="37576"/>
    <n v="6277.03"/>
    <x v="10"/>
    <n v="2024"/>
    <s v="Q4"/>
    <n v="16.704891420055354"/>
  </r>
  <r>
    <s v="O0793"/>
    <d v="2024-11-21T00:00:00"/>
    <s v="C039"/>
    <x v="18"/>
    <n v="1"/>
    <n v="54384"/>
    <n v="7823.9"/>
    <x v="4"/>
    <n v="2024"/>
    <s v="Q4"/>
    <n v="14.386400411885846"/>
  </r>
  <r>
    <s v="O0794"/>
    <d v="2024-11-14T00:00:00"/>
    <s v="C090"/>
    <x v="9"/>
    <n v="3"/>
    <n v="33468"/>
    <n v="6927.25"/>
    <x v="4"/>
    <n v="2024"/>
    <s v="Q4"/>
    <n v="20.698129556591372"/>
  </r>
  <r>
    <s v="O0795"/>
    <d v="2024-08-21T00:00:00"/>
    <s v="C027"/>
    <x v="17"/>
    <n v="1"/>
    <n v="54187"/>
    <n v="13538.69"/>
    <x v="5"/>
    <n v="2024"/>
    <s v="Q3"/>
    <n v="24.98512558362707"/>
  </r>
  <r>
    <s v="O0796"/>
    <d v="2024-03-27T00:00:00"/>
    <s v="C042"/>
    <x v="17"/>
    <n v="2"/>
    <n v="108374"/>
    <n v="20599.12"/>
    <x v="9"/>
    <n v="2024"/>
    <s v="Q1"/>
    <n v="19.007437208186463"/>
  </r>
  <r>
    <s v="O0797"/>
    <d v="2024-01-09T00:00:00"/>
    <s v="C065"/>
    <x v="9"/>
    <n v="4"/>
    <n v="44624"/>
    <n v="10754.52"/>
    <x v="8"/>
    <n v="2024"/>
    <s v="Q1"/>
    <n v="24.100304768734315"/>
  </r>
  <r>
    <s v="O0798"/>
    <d v="2024-08-06T00:00:00"/>
    <s v="C066"/>
    <x v="18"/>
    <n v="4"/>
    <n v="217536"/>
    <n v="31042.43"/>
    <x v="5"/>
    <n v="2024"/>
    <s v="Q3"/>
    <n v="14.270019674904383"/>
  </r>
  <r>
    <s v="O0799"/>
    <d v="2024-05-01T00:00:00"/>
    <s v="C004"/>
    <x v="4"/>
    <n v="4"/>
    <n v="45368"/>
    <n v="6631.1"/>
    <x v="1"/>
    <n v="2024"/>
    <s v="Q2"/>
    <n v="14.616249338740964"/>
  </r>
  <r>
    <s v="O0800"/>
    <d v="2024-11-30T00:00:00"/>
    <s v="C067"/>
    <x v="19"/>
    <n v="5"/>
    <n v="45505"/>
    <n v="8491.09"/>
    <x v="4"/>
    <n v="2024"/>
    <s v="Q4"/>
    <n v="18.659685748818809"/>
  </r>
  <r>
    <s v="O0801"/>
    <d v="2024-03-10T00:00:00"/>
    <s v="C026"/>
    <x v="3"/>
    <n v="1"/>
    <n v="55695"/>
    <n v="13695.13"/>
    <x v="9"/>
    <n v="2024"/>
    <s v="Q1"/>
    <n v="24.589514319059163"/>
  </r>
  <r>
    <s v="O0802"/>
    <d v="2024-05-08T00:00:00"/>
    <s v="C057"/>
    <x v="12"/>
    <n v="4"/>
    <n v="26988"/>
    <n v="2830.55"/>
    <x v="1"/>
    <n v="2024"/>
    <s v="Q2"/>
    <n v="10.48817993182155"/>
  </r>
  <r>
    <s v="O0803"/>
    <d v="2024-02-06T00:00:00"/>
    <s v="C065"/>
    <x v="1"/>
    <n v="1"/>
    <n v="8873"/>
    <n v="1482.79"/>
    <x v="0"/>
    <n v="2024"/>
    <s v="Q1"/>
    <n v="16.711258875239491"/>
  </r>
  <r>
    <s v="O0804"/>
    <d v="2024-01-20T00:00:00"/>
    <s v="C090"/>
    <x v="1"/>
    <n v="4"/>
    <n v="35492"/>
    <n v="5051.4399999999996"/>
    <x v="8"/>
    <n v="2024"/>
    <s v="Q1"/>
    <n v="14.232615800743828"/>
  </r>
  <r>
    <s v="O0805"/>
    <d v="2024-04-11T00:00:00"/>
    <s v="C068"/>
    <x v="17"/>
    <n v="2"/>
    <n v="108374"/>
    <n v="26413.29"/>
    <x v="2"/>
    <n v="2024"/>
    <s v="Q2"/>
    <n v="24.37234945651171"/>
  </r>
  <r>
    <s v="O0806"/>
    <d v="2024-12-07T00:00:00"/>
    <s v="C022"/>
    <x v="0"/>
    <n v="2"/>
    <n v="18788"/>
    <n v="3196.23"/>
    <x v="10"/>
    <n v="2024"/>
    <s v="Q4"/>
    <n v="17.01208218011497"/>
  </r>
  <r>
    <s v="O0807"/>
    <d v="2024-11-09T00:00:00"/>
    <s v="C044"/>
    <x v="16"/>
    <n v="4"/>
    <n v="24880"/>
    <n v="5483.26"/>
    <x v="4"/>
    <n v="2024"/>
    <s v="Q4"/>
    <n v="22.038826366559487"/>
  </r>
  <r>
    <s v="O0808"/>
    <d v="2024-04-19T00:00:00"/>
    <s v="C074"/>
    <x v="11"/>
    <n v="2"/>
    <n v="51216"/>
    <n v="10708.38"/>
    <x v="2"/>
    <n v="2024"/>
    <s v="Q2"/>
    <n v="20.908270852858479"/>
  </r>
  <r>
    <s v="O0809"/>
    <d v="2024-01-19T00:00:00"/>
    <s v="C037"/>
    <x v="6"/>
    <n v="5"/>
    <n v="125795"/>
    <n v="31265.040000000001"/>
    <x v="8"/>
    <n v="2024"/>
    <s v="Q1"/>
    <n v="24.853960809253152"/>
  </r>
  <r>
    <s v="O0810"/>
    <d v="2024-11-29T00:00:00"/>
    <s v="C080"/>
    <x v="3"/>
    <n v="1"/>
    <n v="55695"/>
    <n v="11971.93"/>
    <x v="4"/>
    <n v="2024"/>
    <s v="Q4"/>
    <n v="21.495520244187091"/>
  </r>
  <r>
    <s v="O0811"/>
    <d v="2024-03-12T00:00:00"/>
    <s v="C023"/>
    <x v="15"/>
    <n v="5"/>
    <n v="56175"/>
    <n v="5262.24"/>
    <x v="9"/>
    <n v="2024"/>
    <s v="Q1"/>
    <n v="9.3675834445927908"/>
  </r>
  <r>
    <s v="O0812"/>
    <d v="2024-12-07T00:00:00"/>
    <s v="C070"/>
    <x v="9"/>
    <n v="2"/>
    <n v="22312"/>
    <n v="2997.44"/>
    <x v="10"/>
    <n v="2024"/>
    <s v="Q4"/>
    <n v="13.434205808533525"/>
  </r>
  <r>
    <s v="O0813"/>
    <d v="2024-04-07T00:00:00"/>
    <s v="C096"/>
    <x v="10"/>
    <n v="4"/>
    <n v="24100"/>
    <n v="5934"/>
    <x v="2"/>
    <n v="2024"/>
    <s v="Q2"/>
    <n v="24.622406639004151"/>
  </r>
  <r>
    <s v="O0814"/>
    <d v="2024-07-06T00:00:00"/>
    <s v="C052"/>
    <x v="15"/>
    <n v="1"/>
    <n v="11235"/>
    <n v="2538.5500000000002"/>
    <x v="6"/>
    <n v="2024"/>
    <s v="Q3"/>
    <n v="22.595015576323991"/>
  </r>
  <r>
    <s v="O0815"/>
    <d v="2024-07-10T00:00:00"/>
    <s v="C002"/>
    <x v="16"/>
    <n v="2"/>
    <n v="12440"/>
    <n v="2231.17"/>
    <x v="6"/>
    <n v="2024"/>
    <s v="Q3"/>
    <n v="17.935450160771705"/>
  </r>
  <r>
    <s v="O0816"/>
    <d v="2024-07-26T00:00:00"/>
    <s v="C081"/>
    <x v="19"/>
    <n v="1"/>
    <n v="9101"/>
    <n v="1417.06"/>
    <x v="6"/>
    <n v="2024"/>
    <s v="Q3"/>
    <n v="15.570376881661355"/>
  </r>
  <r>
    <s v="O0817"/>
    <d v="2024-11-29T00:00:00"/>
    <s v="C040"/>
    <x v="12"/>
    <n v="3"/>
    <n v="20241"/>
    <n v="4147.93"/>
    <x v="4"/>
    <n v="2024"/>
    <s v="Q4"/>
    <n v="20.49271281063189"/>
  </r>
  <r>
    <s v="O0818"/>
    <d v="2024-01-21T00:00:00"/>
    <s v="C029"/>
    <x v="3"/>
    <n v="3"/>
    <n v="167085"/>
    <n v="19383.689999999999"/>
    <x v="8"/>
    <n v="2024"/>
    <s v="Q1"/>
    <n v="11.601095250920189"/>
  </r>
  <r>
    <s v="O0819"/>
    <d v="2024-06-15T00:00:00"/>
    <s v="C007"/>
    <x v="19"/>
    <n v="2"/>
    <n v="18202"/>
    <n v="3316.16"/>
    <x v="3"/>
    <n v="2024"/>
    <s v="Q2"/>
    <n v="18.218657290407648"/>
  </r>
  <r>
    <s v="O0820"/>
    <d v="2024-09-26T00:00:00"/>
    <s v="C092"/>
    <x v="9"/>
    <n v="3"/>
    <n v="33468"/>
    <n v="7215.62"/>
    <x v="11"/>
    <n v="2024"/>
    <s v="Q3"/>
    <n v="21.559758575355563"/>
  </r>
  <r>
    <s v="O0821"/>
    <d v="2024-01-07T00:00:00"/>
    <s v="C035"/>
    <x v="5"/>
    <n v="2"/>
    <n v="17252"/>
    <n v="3967.06"/>
    <x v="8"/>
    <n v="2024"/>
    <s v="Q1"/>
    <n v="22.994783213540458"/>
  </r>
  <r>
    <s v="O0822"/>
    <d v="2024-09-12T00:00:00"/>
    <s v="C017"/>
    <x v="17"/>
    <n v="3"/>
    <n v="162561"/>
    <n v="20465.64"/>
    <x v="11"/>
    <n v="2024"/>
    <s v="Q3"/>
    <n v="12.58951409009541"/>
  </r>
  <r>
    <s v="O0823"/>
    <d v="2024-08-02T00:00:00"/>
    <s v="C005"/>
    <x v="1"/>
    <n v="1"/>
    <n v="8873"/>
    <n v="1170.28"/>
    <x v="5"/>
    <n v="2024"/>
    <s v="Q3"/>
    <n v="13.189225741012059"/>
  </r>
  <r>
    <s v="O0824"/>
    <d v="2024-08-11T00:00:00"/>
    <s v="C097"/>
    <x v="0"/>
    <n v="2"/>
    <n v="18788"/>
    <n v="3157.33"/>
    <x v="5"/>
    <n v="2024"/>
    <s v="Q3"/>
    <n v="16.805035128805621"/>
  </r>
  <r>
    <s v="O0825"/>
    <d v="2024-03-18T00:00:00"/>
    <s v="C073"/>
    <x v="2"/>
    <n v="1"/>
    <n v="54937"/>
    <n v="4449.3900000000003"/>
    <x v="9"/>
    <n v="2024"/>
    <s v="Q1"/>
    <n v="8.0990771247064828"/>
  </r>
  <r>
    <s v="O0826"/>
    <d v="2024-06-28T00:00:00"/>
    <s v="C100"/>
    <x v="18"/>
    <n v="2"/>
    <n v="108768"/>
    <n v="27174.39"/>
    <x v="3"/>
    <n v="2024"/>
    <s v="Q2"/>
    <n v="24.983809576345983"/>
  </r>
  <r>
    <s v="O0827"/>
    <d v="2024-10-08T00:00:00"/>
    <s v="C010"/>
    <x v="4"/>
    <n v="2"/>
    <n v="22684"/>
    <n v="3962.35"/>
    <x v="7"/>
    <n v="2024"/>
    <s v="Q4"/>
    <n v="17.467598307176864"/>
  </r>
  <r>
    <s v="O0828"/>
    <d v="2024-12-21T00:00:00"/>
    <s v="C020"/>
    <x v="13"/>
    <n v="4"/>
    <n v="223800"/>
    <n v="23186.68"/>
    <x v="10"/>
    <n v="2024"/>
    <s v="Q4"/>
    <n v="10.360446827524576"/>
  </r>
  <r>
    <s v="O0829"/>
    <d v="2024-11-07T00:00:00"/>
    <s v="C094"/>
    <x v="3"/>
    <n v="2"/>
    <n v="111390"/>
    <n v="11363.2"/>
    <x v="4"/>
    <n v="2024"/>
    <s v="Q4"/>
    <n v="10.201274800251369"/>
  </r>
  <r>
    <s v="O0830"/>
    <d v="2024-11-01T00:00:00"/>
    <s v="C089"/>
    <x v="6"/>
    <n v="2"/>
    <n v="50318"/>
    <n v="10657.5"/>
    <x v="4"/>
    <n v="2024"/>
    <s v="Q4"/>
    <n v="21.180293334393259"/>
  </r>
  <r>
    <s v="O0831"/>
    <d v="2024-03-15T00:00:00"/>
    <s v="C036"/>
    <x v="2"/>
    <n v="3"/>
    <n v="164811"/>
    <n v="13392.66"/>
    <x v="9"/>
    <n v="2024"/>
    <s v="Q1"/>
    <n v="8.1260716821085968"/>
  </r>
  <r>
    <s v="O0832"/>
    <d v="2024-08-09T00:00:00"/>
    <s v="C090"/>
    <x v="19"/>
    <n v="1"/>
    <n v="9101"/>
    <n v="1963.17"/>
    <x v="5"/>
    <n v="2024"/>
    <s v="Q3"/>
    <n v="21.57092627183826"/>
  </r>
  <r>
    <s v="O0833"/>
    <d v="2024-07-19T00:00:00"/>
    <s v="C092"/>
    <x v="1"/>
    <n v="3"/>
    <n v="26619"/>
    <n v="5227.5600000000004"/>
    <x v="6"/>
    <n v="2024"/>
    <s v="Q3"/>
    <n v="19.638453736053197"/>
  </r>
  <r>
    <s v="O0834"/>
    <d v="2024-08-31T00:00:00"/>
    <s v="C055"/>
    <x v="10"/>
    <n v="4"/>
    <n v="24100"/>
    <n v="3361.2"/>
    <x v="5"/>
    <n v="2024"/>
    <s v="Q3"/>
    <n v="13.946887966804978"/>
  </r>
  <r>
    <s v="O0835"/>
    <d v="2024-12-21T00:00:00"/>
    <s v="C024"/>
    <x v="2"/>
    <n v="1"/>
    <n v="54937"/>
    <n v="7304.2"/>
    <x v="10"/>
    <n v="2024"/>
    <s v="Q4"/>
    <n v="13.295593133953437"/>
  </r>
  <r>
    <s v="O0836"/>
    <d v="2024-02-10T00:00:00"/>
    <s v="C007"/>
    <x v="18"/>
    <n v="1"/>
    <n v="54384"/>
    <n v="11598.26"/>
    <x v="0"/>
    <n v="2024"/>
    <s v="Q1"/>
    <n v="21.32660341276846"/>
  </r>
  <r>
    <s v="O0837"/>
    <d v="2024-11-22T00:00:00"/>
    <s v="C077"/>
    <x v="15"/>
    <n v="1"/>
    <n v="11235"/>
    <n v="2763.73"/>
    <x v="4"/>
    <n v="2024"/>
    <s v="Q4"/>
    <n v="24.599287939474856"/>
  </r>
  <r>
    <s v="O0838"/>
    <d v="2024-11-11T00:00:00"/>
    <s v="C032"/>
    <x v="13"/>
    <n v="4"/>
    <n v="223800"/>
    <n v="48520.15"/>
    <x v="4"/>
    <n v="2024"/>
    <s v="Q4"/>
    <n v="21.680138516532619"/>
  </r>
  <r>
    <s v="O0839"/>
    <d v="2024-11-12T00:00:00"/>
    <s v="C050"/>
    <x v="0"/>
    <n v="5"/>
    <n v="46970"/>
    <n v="10561.79"/>
    <x v="4"/>
    <n v="2024"/>
    <s v="Q4"/>
    <n v="22.486246540344904"/>
  </r>
  <r>
    <s v="O0840"/>
    <d v="2024-06-18T00:00:00"/>
    <s v="C036"/>
    <x v="12"/>
    <n v="2"/>
    <n v="13494"/>
    <n v="1450.05"/>
    <x v="3"/>
    <n v="2024"/>
    <s v="Q2"/>
    <n v="10.745887060915962"/>
  </r>
  <r>
    <s v="O0841"/>
    <d v="2024-10-11T00:00:00"/>
    <s v="C045"/>
    <x v="5"/>
    <n v="1"/>
    <n v="8626"/>
    <n v="2057.15"/>
    <x v="7"/>
    <n v="2024"/>
    <s v="Q4"/>
    <n v="23.848249478321353"/>
  </r>
  <r>
    <s v="O0842"/>
    <d v="2024-10-01T00:00:00"/>
    <s v="C030"/>
    <x v="14"/>
    <n v="3"/>
    <n v="21465"/>
    <n v="4619.03"/>
    <x v="7"/>
    <n v="2024"/>
    <s v="Q4"/>
    <n v="21.518891218262286"/>
  </r>
  <r>
    <s v="O0843"/>
    <d v="2024-03-25T00:00:00"/>
    <s v="C058"/>
    <x v="5"/>
    <n v="4"/>
    <n v="34504"/>
    <n v="6113.3"/>
    <x v="9"/>
    <n v="2024"/>
    <s v="Q1"/>
    <n v="17.717655923950847"/>
  </r>
  <r>
    <s v="O0844"/>
    <d v="2024-04-04T00:00:00"/>
    <s v="C024"/>
    <x v="4"/>
    <n v="1"/>
    <n v="11342"/>
    <n v="1590.43"/>
    <x v="2"/>
    <n v="2024"/>
    <s v="Q2"/>
    <n v="14.022482807265032"/>
  </r>
  <r>
    <s v="O0845"/>
    <d v="2024-08-21T00:00:00"/>
    <s v="C088"/>
    <x v="18"/>
    <n v="5"/>
    <n v="271920"/>
    <n v="25417.52"/>
    <x v="5"/>
    <n v="2024"/>
    <s v="Q3"/>
    <n v="9.3474257134451317"/>
  </r>
  <r>
    <s v="O0846"/>
    <d v="2024-11-20T00:00:00"/>
    <s v="C056"/>
    <x v="14"/>
    <n v="1"/>
    <n v="7155"/>
    <n v="654.74"/>
    <x v="4"/>
    <n v="2024"/>
    <s v="Q4"/>
    <n v="9.1508036338225018"/>
  </r>
  <r>
    <s v="O0847"/>
    <d v="2024-10-24T00:00:00"/>
    <s v="C033"/>
    <x v="3"/>
    <n v="4"/>
    <n v="222780"/>
    <n v="49613.69"/>
    <x v="7"/>
    <n v="2024"/>
    <s v="Q4"/>
    <n v="22.270262142023523"/>
  </r>
  <r>
    <s v="O0848"/>
    <d v="2024-11-29T00:00:00"/>
    <s v="C042"/>
    <x v="17"/>
    <n v="5"/>
    <n v="270935"/>
    <n v="50260.11"/>
    <x v="4"/>
    <n v="2024"/>
    <s v="Q4"/>
    <n v="18.550615461272997"/>
  </r>
  <r>
    <s v="O0849"/>
    <d v="2024-09-11T00:00:00"/>
    <s v="C010"/>
    <x v="14"/>
    <n v="4"/>
    <n v="28620"/>
    <n v="3980.99"/>
    <x v="11"/>
    <n v="2024"/>
    <s v="Q3"/>
    <n v="13.909818308874911"/>
  </r>
  <r>
    <s v="O0850"/>
    <d v="2024-04-25T00:00:00"/>
    <s v="C045"/>
    <x v="6"/>
    <n v="4"/>
    <n v="100636"/>
    <n v="13684.34"/>
    <x v="2"/>
    <n v="2024"/>
    <s v="Q2"/>
    <n v="13.597857625501808"/>
  </r>
  <r>
    <s v="O0851"/>
    <d v="2024-12-27T00:00:00"/>
    <s v="C039"/>
    <x v="17"/>
    <n v="2"/>
    <n v="108374"/>
    <n v="12198.22"/>
    <x v="10"/>
    <n v="2024"/>
    <s v="Q4"/>
    <n v="11.255670179194272"/>
  </r>
  <r>
    <s v="O0852"/>
    <d v="2024-10-23T00:00:00"/>
    <s v="C066"/>
    <x v="4"/>
    <n v="1"/>
    <n v="11342"/>
    <n v="1220.31"/>
    <x v="7"/>
    <n v="2024"/>
    <s v="Q4"/>
    <n v="10.759213542585082"/>
  </r>
  <r>
    <s v="O0853"/>
    <d v="2024-10-28T00:00:00"/>
    <s v="C040"/>
    <x v="9"/>
    <n v="1"/>
    <n v="11156"/>
    <n v="1396.45"/>
    <x v="7"/>
    <n v="2024"/>
    <s v="Q4"/>
    <n v="12.517479383291501"/>
  </r>
  <r>
    <s v="O0854"/>
    <d v="2024-05-06T00:00:00"/>
    <s v="C015"/>
    <x v="12"/>
    <n v="5"/>
    <n v="33735"/>
    <n v="5292.08"/>
    <x v="1"/>
    <n v="2024"/>
    <s v="Q2"/>
    <n v="15.687209129983696"/>
  </r>
  <r>
    <s v="O0855"/>
    <d v="2024-07-03T00:00:00"/>
    <s v="C060"/>
    <x v="17"/>
    <n v="1"/>
    <n v="54187"/>
    <n v="5632.83"/>
    <x v="6"/>
    <n v="2024"/>
    <s v="Q3"/>
    <n v="10.395168582870431"/>
  </r>
  <r>
    <s v="O0856"/>
    <d v="2024-10-16T00:00:00"/>
    <s v="C065"/>
    <x v="16"/>
    <n v="4"/>
    <n v="24880"/>
    <n v="5808.54"/>
    <x v="7"/>
    <n v="2024"/>
    <s v="Q4"/>
    <n v="23.346221864951769"/>
  </r>
  <r>
    <s v="O0857"/>
    <d v="2024-09-06T00:00:00"/>
    <s v="C056"/>
    <x v="13"/>
    <n v="5"/>
    <n v="279750"/>
    <n v="33468.68"/>
    <x v="11"/>
    <n v="2024"/>
    <s v="Q3"/>
    <n v="11.963781948168007"/>
  </r>
  <r>
    <s v="O0858"/>
    <d v="2024-04-04T00:00:00"/>
    <s v="C009"/>
    <x v="8"/>
    <n v="3"/>
    <n v="72708"/>
    <n v="12393.42"/>
    <x v="2"/>
    <n v="2024"/>
    <s v="Q2"/>
    <n v="17.045469549430599"/>
  </r>
  <r>
    <s v="O0859"/>
    <d v="2024-05-01T00:00:00"/>
    <s v="C008"/>
    <x v="14"/>
    <n v="2"/>
    <n v="14310"/>
    <n v="1189.95"/>
    <x v="1"/>
    <n v="2024"/>
    <s v="Q2"/>
    <n v="8.3155136268343828"/>
  </r>
  <r>
    <s v="O0860"/>
    <d v="2024-10-12T00:00:00"/>
    <s v="C031"/>
    <x v="11"/>
    <n v="5"/>
    <n v="128040"/>
    <n v="24384.31"/>
    <x v="7"/>
    <n v="2024"/>
    <s v="Q4"/>
    <n v="19.044290846610433"/>
  </r>
  <r>
    <s v="O0861"/>
    <d v="2024-09-18T00:00:00"/>
    <s v="C054"/>
    <x v="12"/>
    <n v="2"/>
    <n v="13494"/>
    <n v="1081.33"/>
    <x v="11"/>
    <n v="2024"/>
    <s v="Q3"/>
    <n v="8.0134133689046987"/>
  </r>
  <r>
    <s v="O0862"/>
    <d v="2024-02-16T00:00:00"/>
    <s v="C069"/>
    <x v="9"/>
    <n v="2"/>
    <n v="22312"/>
    <n v="5044.7700000000004"/>
    <x v="0"/>
    <n v="2024"/>
    <s v="Q1"/>
    <n v="22.610120114736468"/>
  </r>
  <r>
    <s v="O0863"/>
    <d v="2024-07-03T00:00:00"/>
    <s v="C004"/>
    <x v="13"/>
    <n v="5"/>
    <n v="279750"/>
    <n v="35050.589999999997"/>
    <x v="6"/>
    <n v="2024"/>
    <s v="Q3"/>
    <n v="12.529254691689006"/>
  </r>
  <r>
    <s v="O0864"/>
    <d v="2024-07-30T00:00:00"/>
    <s v="C043"/>
    <x v="13"/>
    <n v="1"/>
    <n v="55950"/>
    <n v="6909.42"/>
    <x v="6"/>
    <n v="2024"/>
    <s v="Q3"/>
    <n v="12.349276139410188"/>
  </r>
  <r>
    <s v="O0865"/>
    <d v="2024-12-10T00:00:00"/>
    <s v="C046"/>
    <x v="4"/>
    <n v="1"/>
    <n v="11342"/>
    <n v="1964.95"/>
    <x v="10"/>
    <n v="2024"/>
    <s v="Q4"/>
    <n v="17.324545935461121"/>
  </r>
  <r>
    <s v="O0866"/>
    <d v="2024-06-02T00:00:00"/>
    <s v="C059"/>
    <x v="9"/>
    <n v="3"/>
    <n v="33468"/>
    <n v="4449.1099999999997"/>
    <x v="3"/>
    <n v="2024"/>
    <s v="Q2"/>
    <n v="13.293623760009559"/>
  </r>
  <r>
    <s v="O0867"/>
    <d v="2024-09-04T00:00:00"/>
    <s v="C087"/>
    <x v="1"/>
    <n v="3"/>
    <n v="26619"/>
    <n v="5717.98"/>
    <x v="11"/>
    <n v="2024"/>
    <s v="Q3"/>
    <n v="21.480821969270071"/>
  </r>
  <r>
    <s v="O0868"/>
    <d v="2024-11-29T00:00:00"/>
    <s v="C038"/>
    <x v="6"/>
    <n v="5"/>
    <n v="125795"/>
    <n v="30452.34"/>
    <x v="4"/>
    <n v="2024"/>
    <s v="Q4"/>
    <n v="24.207909694343975"/>
  </r>
  <r>
    <s v="O0869"/>
    <d v="2024-03-04T00:00:00"/>
    <s v="C002"/>
    <x v="6"/>
    <n v="4"/>
    <n v="100636"/>
    <n v="9310.18"/>
    <x v="9"/>
    <n v="2024"/>
    <s v="Q1"/>
    <n v="9.2513414682618542"/>
  </r>
  <r>
    <s v="O0870"/>
    <d v="2024-02-06T00:00:00"/>
    <s v="C081"/>
    <x v="19"/>
    <n v="2"/>
    <n v="18202"/>
    <n v="2908.13"/>
    <x v="0"/>
    <n v="2024"/>
    <s v="Q1"/>
    <n v="15.976980551587738"/>
  </r>
  <r>
    <s v="O0871"/>
    <d v="2024-05-26T00:00:00"/>
    <s v="C028"/>
    <x v="3"/>
    <n v="2"/>
    <n v="111390"/>
    <n v="26123.53"/>
    <x v="1"/>
    <n v="2024"/>
    <s v="Q2"/>
    <n v="23.452311697638926"/>
  </r>
  <r>
    <s v="O0872"/>
    <d v="2024-09-17T00:00:00"/>
    <s v="C060"/>
    <x v="15"/>
    <n v="5"/>
    <n v="56175"/>
    <n v="9967.3700000000008"/>
    <x v="11"/>
    <n v="2024"/>
    <s v="Q3"/>
    <n v="17.743426791277258"/>
  </r>
  <r>
    <s v="O0873"/>
    <d v="2024-01-16T00:00:00"/>
    <s v="C027"/>
    <x v="15"/>
    <n v="4"/>
    <n v="44940"/>
    <n v="4233.32"/>
    <x v="8"/>
    <n v="2024"/>
    <s v="Q1"/>
    <n v="9.4199376947040481"/>
  </r>
  <r>
    <s v="O0874"/>
    <d v="2024-05-31T00:00:00"/>
    <s v="C010"/>
    <x v="16"/>
    <n v="5"/>
    <n v="31100"/>
    <n v="4863.82"/>
    <x v="1"/>
    <n v="2024"/>
    <s v="Q2"/>
    <n v="15.639292604501605"/>
  </r>
  <r>
    <s v="O0875"/>
    <d v="2024-07-21T00:00:00"/>
    <s v="C054"/>
    <x v="12"/>
    <n v="5"/>
    <n v="33735"/>
    <n v="7994.7"/>
    <x v="6"/>
    <n v="2024"/>
    <s v="Q3"/>
    <n v="23.69853268119164"/>
  </r>
  <r>
    <s v="O0876"/>
    <d v="2024-09-09T00:00:00"/>
    <s v="C049"/>
    <x v="15"/>
    <n v="2"/>
    <n v="22470"/>
    <n v="2739.85"/>
    <x v="11"/>
    <n v="2024"/>
    <s v="Q3"/>
    <n v="12.19336893635959"/>
  </r>
  <r>
    <s v="O0877"/>
    <d v="2024-06-29T00:00:00"/>
    <s v="C002"/>
    <x v="16"/>
    <n v="3"/>
    <n v="18660"/>
    <n v="2996.85"/>
    <x v="3"/>
    <n v="2024"/>
    <s v="Q2"/>
    <n v="16.060289389067524"/>
  </r>
  <r>
    <s v="O0878"/>
    <d v="2024-12-09T00:00:00"/>
    <s v="C097"/>
    <x v="6"/>
    <n v="5"/>
    <n v="125795"/>
    <n v="25514.55"/>
    <x v="10"/>
    <n v="2024"/>
    <s v="Q4"/>
    <n v="20.282642394371795"/>
  </r>
  <r>
    <s v="O0879"/>
    <d v="2024-07-17T00:00:00"/>
    <s v="C097"/>
    <x v="6"/>
    <n v="2"/>
    <n v="50318"/>
    <n v="9920.17"/>
    <x v="6"/>
    <n v="2024"/>
    <s v="Q3"/>
    <n v="19.714952899558806"/>
  </r>
  <r>
    <s v="O0880"/>
    <d v="2024-03-31T00:00:00"/>
    <s v="C028"/>
    <x v="17"/>
    <n v="1"/>
    <n v="54187"/>
    <n v="13000.13"/>
    <x v="9"/>
    <n v="2024"/>
    <s v="Q1"/>
    <n v="23.991234059829846"/>
  </r>
  <r>
    <s v="O0881"/>
    <d v="2024-03-13T00:00:00"/>
    <s v="C098"/>
    <x v="1"/>
    <n v="4"/>
    <n v="35492"/>
    <n v="5093.24"/>
    <x v="9"/>
    <n v="2024"/>
    <s v="Q1"/>
    <n v="14.350388820015777"/>
  </r>
  <r>
    <s v="O0882"/>
    <d v="2024-04-18T00:00:00"/>
    <s v="C009"/>
    <x v="11"/>
    <n v="2"/>
    <n v="51216"/>
    <n v="4488.68"/>
    <x v="2"/>
    <n v="2024"/>
    <s v="Q2"/>
    <n v="8.7642143080287429"/>
  </r>
  <r>
    <s v="O0883"/>
    <d v="2024-08-26T00:00:00"/>
    <s v="C098"/>
    <x v="11"/>
    <n v="5"/>
    <n v="128040"/>
    <n v="29791.119999999999"/>
    <x v="5"/>
    <n v="2024"/>
    <s v="Q3"/>
    <n v="23.267041549515778"/>
  </r>
  <r>
    <s v="O0884"/>
    <d v="2024-01-11T00:00:00"/>
    <s v="C084"/>
    <x v="16"/>
    <n v="3"/>
    <n v="18660"/>
    <n v="3001.23"/>
    <x v="8"/>
    <n v="2024"/>
    <s v="Q1"/>
    <n v="16.083762057877813"/>
  </r>
  <r>
    <s v="O0885"/>
    <d v="2024-12-11T00:00:00"/>
    <s v="C091"/>
    <x v="15"/>
    <n v="4"/>
    <n v="44940"/>
    <n v="11164.05"/>
    <x v="10"/>
    <n v="2024"/>
    <s v="Q4"/>
    <n v="24.842122830440587"/>
  </r>
  <r>
    <s v="O0886"/>
    <d v="2024-04-21T00:00:00"/>
    <s v="C075"/>
    <x v="10"/>
    <n v="4"/>
    <n v="24100"/>
    <n v="4844.1499999999996"/>
    <x v="2"/>
    <n v="2024"/>
    <s v="Q2"/>
    <n v="20.100207468879667"/>
  </r>
  <r>
    <s v="O0887"/>
    <d v="2024-10-22T00:00:00"/>
    <s v="C099"/>
    <x v="2"/>
    <n v="2"/>
    <n v="109874"/>
    <n v="21277.25"/>
    <x v="7"/>
    <n v="2024"/>
    <s v="Q4"/>
    <n v="19.36513642900049"/>
  </r>
  <r>
    <s v="O0888"/>
    <d v="2024-05-21T00:00:00"/>
    <s v="C061"/>
    <x v="2"/>
    <n v="5"/>
    <n v="274685"/>
    <n v="41372.879999999997"/>
    <x v="1"/>
    <n v="2024"/>
    <s v="Q2"/>
    <n v="15.061936399876222"/>
  </r>
  <r>
    <s v="O0889"/>
    <d v="2024-08-17T00:00:00"/>
    <s v="C057"/>
    <x v="5"/>
    <n v="1"/>
    <n v="8626"/>
    <n v="2071.9499999999998"/>
    <x v="5"/>
    <n v="2024"/>
    <s v="Q3"/>
    <n v="24.019823788546255"/>
  </r>
  <r>
    <s v="O0890"/>
    <d v="2024-04-26T00:00:00"/>
    <s v="C088"/>
    <x v="16"/>
    <n v="5"/>
    <n v="31100"/>
    <n v="7736.6"/>
    <x v="2"/>
    <n v="2024"/>
    <s v="Q2"/>
    <n v="24.876527331189713"/>
  </r>
  <r>
    <s v="O0891"/>
    <d v="2024-05-10T00:00:00"/>
    <s v="C066"/>
    <x v="3"/>
    <n v="2"/>
    <n v="111390"/>
    <n v="11847.98"/>
    <x v="1"/>
    <n v="2024"/>
    <s v="Q2"/>
    <n v="10.636484424095521"/>
  </r>
  <r>
    <s v="O0892"/>
    <d v="2024-12-11T00:00:00"/>
    <s v="C091"/>
    <x v="0"/>
    <n v="4"/>
    <n v="37576"/>
    <n v="8394.5300000000007"/>
    <x v="10"/>
    <n v="2024"/>
    <s v="Q4"/>
    <n v="22.340137321694701"/>
  </r>
  <r>
    <s v="O0893"/>
    <d v="2024-02-13T00:00:00"/>
    <s v="C055"/>
    <x v="1"/>
    <n v="2"/>
    <n v="17746"/>
    <n v="1829.97"/>
    <x v="0"/>
    <n v="2024"/>
    <s v="Q1"/>
    <n v="10.312013974980278"/>
  </r>
  <r>
    <s v="O0894"/>
    <d v="2024-04-22T00:00:00"/>
    <s v="C022"/>
    <x v="15"/>
    <n v="5"/>
    <n v="56175"/>
    <n v="11438.78"/>
    <x v="2"/>
    <n v="2024"/>
    <s v="Q2"/>
    <n v="20.362759234534934"/>
  </r>
  <r>
    <s v="O0895"/>
    <d v="2024-05-25T00:00:00"/>
    <s v="C038"/>
    <x v="4"/>
    <n v="4"/>
    <n v="45368"/>
    <n v="5699.05"/>
    <x v="1"/>
    <n v="2024"/>
    <s v="Q2"/>
    <n v="12.56182771997884"/>
  </r>
  <r>
    <s v="O0896"/>
    <d v="2024-12-09T00:00:00"/>
    <s v="C020"/>
    <x v="6"/>
    <n v="4"/>
    <n v="100636"/>
    <n v="12869.88"/>
    <x v="10"/>
    <n v="2024"/>
    <s v="Q4"/>
    <n v="12.788544854723954"/>
  </r>
  <r>
    <s v="O0897"/>
    <d v="2024-12-15T00:00:00"/>
    <s v="C039"/>
    <x v="17"/>
    <n v="5"/>
    <n v="270935"/>
    <n v="24492.84"/>
    <x v="10"/>
    <n v="2024"/>
    <s v="Q4"/>
    <n v="9.0401166331407907"/>
  </r>
  <r>
    <s v="O0898"/>
    <d v="2024-08-09T00:00:00"/>
    <s v="C020"/>
    <x v="6"/>
    <n v="2"/>
    <n v="50318"/>
    <n v="8459.59"/>
    <x v="5"/>
    <n v="2024"/>
    <s v="Q3"/>
    <n v="16.812254064151993"/>
  </r>
  <r>
    <s v="O0899"/>
    <d v="2024-06-06T00:00:00"/>
    <s v="C015"/>
    <x v="9"/>
    <n v="3"/>
    <n v="33468"/>
    <n v="6356.1"/>
    <x v="3"/>
    <n v="2024"/>
    <s v="Q2"/>
    <n v="18.991574040874866"/>
  </r>
  <r>
    <s v="O0900"/>
    <d v="2024-05-25T00:00:00"/>
    <s v="C005"/>
    <x v="16"/>
    <n v="4"/>
    <n v="24880"/>
    <n v="2123.56"/>
    <x v="1"/>
    <n v="2024"/>
    <s v="Q2"/>
    <n v="8.5352090032154333"/>
  </r>
  <r>
    <s v="O0901"/>
    <d v="2024-05-20T00:00:00"/>
    <s v="C072"/>
    <x v="14"/>
    <n v="3"/>
    <n v="21465"/>
    <n v="5221.6099999999997"/>
    <x v="1"/>
    <n v="2024"/>
    <s v="Q2"/>
    <n v="24.326158863265778"/>
  </r>
  <r>
    <s v="O0902"/>
    <d v="2024-02-15T00:00:00"/>
    <s v="C022"/>
    <x v="16"/>
    <n v="5"/>
    <n v="31100"/>
    <n v="4276.2"/>
    <x v="0"/>
    <n v="2024"/>
    <s v="Q1"/>
    <n v="13.749839228295818"/>
  </r>
  <r>
    <s v="O0903"/>
    <d v="2024-07-15T00:00:00"/>
    <s v="C090"/>
    <x v="9"/>
    <n v="2"/>
    <n v="22312"/>
    <n v="5467.27"/>
    <x v="6"/>
    <n v="2024"/>
    <s v="Q3"/>
    <n v="24.503719971315885"/>
  </r>
  <r>
    <s v="O0904"/>
    <d v="2024-01-14T00:00:00"/>
    <s v="C042"/>
    <x v="3"/>
    <n v="4"/>
    <n v="222780"/>
    <n v="24163.14"/>
    <x v="8"/>
    <n v="2024"/>
    <s v="Q1"/>
    <n v="10.846189065445731"/>
  </r>
  <r>
    <s v="O0905"/>
    <d v="2024-11-09T00:00:00"/>
    <s v="C097"/>
    <x v="2"/>
    <n v="1"/>
    <n v="54937"/>
    <n v="9469.9699999999993"/>
    <x v="4"/>
    <n v="2024"/>
    <s v="Q4"/>
    <n v="17.23787247210441"/>
  </r>
  <r>
    <s v="O0906"/>
    <d v="2024-08-25T00:00:00"/>
    <s v="C073"/>
    <x v="19"/>
    <n v="4"/>
    <n v="36404"/>
    <n v="6249.89"/>
    <x v="5"/>
    <n v="2024"/>
    <s v="Q3"/>
    <n v="17.168140863641359"/>
  </r>
  <r>
    <s v="O0907"/>
    <d v="2024-07-18T00:00:00"/>
    <s v="C099"/>
    <x v="19"/>
    <n v="5"/>
    <n v="45505"/>
    <n v="7579.53"/>
    <x v="6"/>
    <n v="2024"/>
    <s v="Q3"/>
    <n v="16.656477310185693"/>
  </r>
  <r>
    <s v="O0908"/>
    <d v="2024-07-15T00:00:00"/>
    <s v="C014"/>
    <x v="6"/>
    <n v="5"/>
    <n v="125795"/>
    <n v="22242.46"/>
    <x v="6"/>
    <n v="2024"/>
    <s v="Q3"/>
    <n v="17.681513573671449"/>
  </r>
  <r>
    <s v="O0909"/>
    <d v="2024-01-17T00:00:00"/>
    <s v="C012"/>
    <x v="18"/>
    <n v="2"/>
    <n v="108768"/>
    <n v="15244.07"/>
    <x v="8"/>
    <n v="2024"/>
    <s v="Q1"/>
    <n v="14.015215872315387"/>
  </r>
  <r>
    <s v="O0910"/>
    <d v="2024-01-05T00:00:00"/>
    <s v="C053"/>
    <x v="18"/>
    <n v="5"/>
    <n v="271920"/>
    <n v="36509.21"/>
    <x v="8"/>
    <n v="2024"/>
    <s v="Q1"/>
    <n v="13.42645263312739"/>
  </r>
  <r>
    <s v="O0911"/>
    <d v="2024-11-19T00:00:00"/>
    <s v="C017"/>
    <x v="18"/>
    <n v="4"/>
    <n v="217536"/>
    <n v="26668.49"/>
    <x v="4"/>
    <n v="2024"/>
    <s v="Q4"/>
    <n v="12.259345579582231"/>
  </r>
  <r>
    <s v="O0912"/>
    <d v="2024-09-21T00:00:00"/>
    <s v="C066"/>
    <x v="6"/>
    <n v="4"/>
    <n v="100636"/>
    <n v="15792.78"/>
    <x v="11"/>
    <n v="2024"/>
    <s v="Q3"/>
    <n v="15.692972693668269"/>
  </r>
  <r>
    <s v="O0913"/>
    <d v="2024-08-04T00:00:00"/>
    <s v="C038"/>
    <x v="5"/>
    <n v="1"/>
    <n v="8626"/>
    <n v="2008.74"/>
    <x v="5"/>
    <n v="2024"/>
    <s v="Q3"/>
    <n v="23.287039183862738"/>
  </r>
  <r>
    <s v="O0914"/>
    <d v="2024-07-04T00:00:00"/>
    <s v="C020"/>
    <x v="10"/>
    <n v="2"/>
    <n v="12050"/>
    <n v="1133.56"/>
    <x v="6"/>
    <n v="2024"/>
    <s v="Q3"/>
    <n v="9.4071369294605809"/>
  </r>
  <r>
    <s v="O0915"/>
    <d v="2024-12-04T00:00:00"/>
    <s v="C015"/>
    <x v="8"/>
    <n v="5"/>
    <n v="121180"/>
    <n v="16517.78"/>
    <x v="10"/>
    <n v="2024"/>
    <s v="Q4"/>
    <n v="13.630780656874069"/>
  </r>
  <r>
    <s v="O0916"/>
    <d v="2024-03-23T00:00:00"/>
    <s v="C013"/>
    <x v="14"/>
    <n v="5"/>
    <n v="35775"/>
    <n v="4793.96"/>
    <x v="9"/>
    <n v="2024"/>
    <s v="Q1"/>
    <n v="13.400307477288608"/>
  </r>
  <r>
    <s v="O0917"/>
    <d v="2024-05-30T00:00:00"/>
    <s v="C043"/>
    <x v="5"/>
    <n v="2"/>
    <n v="17252"/>
    <n v="3570.75"/>
    <x v="1"/>
    <n v="2024"/>
    <s v="Q2"/>
    <n v="20.697600278228613"/>
  </r>
  <r>
    <s v="O0918"/>
    <d v="2024-08-24T00:00:00"/>
    <s v="C072"/>
    <x v="8"/>
    <n v="1"/>
    <n v="24236"/>
    <n v="3960.56"/>
    <x v="5"/>
    <n v="2024"/>
    <s v="Q3"/>
    <n v="16.341640534741707"/>
  </r>
  <r>
    <s v="O0919"/>
    <d v="2024-11-22T00:00:00"/>
    <s v="C065"/>
    <x v="15"/>
    <n v="4"/>
    <n v="44940"/>
    <n v="6376.69"/>
    <x v="4"/>
    <n v="2024"/>
    <s v="Q4"/>
    <n v="14.189341344014238"/>
  </r>
  <r>
    <s v="O0920"/>
    <d v="2024-03-13T00:00:00"/>
    <s v="C068"/>
    <x v="18"/>
    <n v="2"/>
    <n v="108768"/>
    <n v="24177.41"/>
    <x v="9"/>
    <n v="2024"/>
    <s v="Q1"/>
    <n v="22.228421962341866"/>
  </r>
  <r>
    <s v="O0921"/>
    <d v="2024-11-23T00:00:00"/>
    <s v="C001"/>
    <x v="12"/>
    <n v="3"/>
    <n v="20241"/>
    <n v="2229.08"/>
    <x v="4"/>
    <n v="2024"/>
    <s v="Q4"/>
    <n v="11.012697001136306"/>
  </r>
  <r>
    <s v="O0922"/>
    <d v="2024-08-22T00:00:00"/>
    <s v="C020"/>
    <x v="14"/>
    <n v="2"/>
    <n v="14310"/>
    <n v="2832"/>
    <x v="5"/>
    <n v="2024"/>
    <s v="Q3"/>
    <n v="19.790356394129979"/>
  </r>
  <r>
    <s v="O0923"/>
    <d v="2024-07-18T00:00:00"/>
    <s v="C018"/>
    <x v="5"/>
    <n v="4"/>
    <n v="34504"/>
    <n v="5730.99"/>
    <x v="6"/>
    <n v="2024"/>
    <s v="Q3"/>
    <n v="16.609639462091351"/>
  </r>
  <r>
    <s v="O0924"/>
    <d v="2024-11-26T00:00:00"/>
    <s v="C051"/>
    <x v="4"/>
    <n v="4"/>
    <n v="45368"/>
    <n v="7826.9"/>
    <x v="4"/>
    <n v="2024"/>
    <s v="Q4"/>
    <n v="17.252027861047434"/>
  </r>
  <r>
    <s v="O0925"/>
    <d v="2024-03-05T00:00:00"/>
    <s v="C065"/>
    <x v="17"/>
    <n v="4"/>
    <n v="216748"/>
    <n v="27661.65"/>
    <x v="9"/>
    <n v="2024"/>
    <s v="Q1"/>
    <n v="12.762124679351135"/>
  </r>
  <r>
    <s v="O0926"/>
    <d v="2024-05-20T00:00:00"/>
    <s v="C086"/>
    <x v="14"/>
    <n v="4"/>
    <n v="28620"/>
    <n v="2460.65"/>
    <x v="1"/>
    <n v="2024"/>
    <s v="Q2"/>
    <n v="8.5976589797344509"/>
  </r>
  <r>
    <s v="O0927"/>
    <d v="2024-07-18T00:00:00"/>
    <s v="C079"/>
    <x v="13"/>
    <n v="4"/>
    <n v="223800"/>
    <n v="26180.34"/>
    <x v="6"/>
    <n v="2024"/>
    <s v="Q3"/>
    <n v="11.698096514745309"/>
  </r>
  <r>
    <s v="O0928"/>
    <d v="2024-12-07T00:00:00"/>
    <s v="C057"/>
    <x v="9"/>
    <n v="3"/>
    <n v="33468"/>
    <n v="6705.99"/>
    <x v="10"/>
    <n v="2024"/>
    <s v="Q4"/>
    <n v="20.037020437432769"/>
  </r>
  <r>
    <s v="O0929"/>
    <d v="2024-10-18T00:00:00"/>
    <s v="C020"/>
    <x v="16"/>
    <n v="5"/>
    <n v="31100"/>
    <n v="6584"/>
    <x v="7"/>
    <n v="2024"/>
    <s v="Q4"/>
    <n v="21.170418006430868"/>
  </r>
  <r>
    <s v="O0930"/>
    <d v="2024-11-03T00:00:00"/>
    <s v="C100"/>
    <x v="18"/>
    <n v="3"/>
    <n v="163152"/>
    <n v="17297.990000000002"/>
    <x v="4"/>
    <n v="2024"/>
    <s v="Q4"/>
    <n v="10.602376924585663"/>
  </r>
  <r>
    <s v="O0931"/>
    <d v="2024-12-09T00:00:00"/>
    <s v="C082"/>
    <x v="5"/>
    <n v="5"/>
    <n v="43130"/>
    <n v="6334.79"/>
    <x v="10"/>
    <n v="2024"/>
    <s v="Q4"/>
    <n v="14.687665198237884"/>
  </r>
  <r>
    <s v="O0932"/>
    <d v="2024-12-07T00:00:00"/>
    <s v="C010"/>
    <x v="5"/>
    <n v="1"/>
    <n v="8626"/>
    <n v="1945.49"/>
    <x v="10"/>
    <n v="2024"/>
    <s v="Q4"/>
    <n v="22.553790864827267"/>
  </r>
  <r>
    <s v="O0933"/>
    <d v="2024-02-01T00:00:00"/>
    <s v="C010"/>
    <x v="5"/>
    <n v="2"/>
    <n v="17252"/>
    <n v="2988.48"/>
    <x v="0"/>
    <n v="2024"/>
    <s v="Q1"/>
    <n v="17.322513331787619"/>
  </r>
  <r>
    <s v="O0934"/>
    <d v="2024-12-05T00:00:00"/>
    <s v="C027"/>
    <x v="17"/>
    <n v="3"/>
    <n v="162561"/>
    <n v="31850.74"/>
    <x v="10"/>
    <n v="2024"/>
    <s v="Q4"/>
    <n v="19.59310043614397"/>
  </r>
  <r>
    <s v="O0935"/>
    <d v="2024-06-30T00:00:00"/>
    <s v="C046"/>
    <x v="14"/>
    <n v="2"/>
    <n v="14310"/>
    <n v="2141.65"/>
    <x v="3"/>
    <n v="2024"/>
    <s v="Q2"/>
    <n v="14.966107617051014"/>
  </r>
  <r>
    <s v="O0936"/>
    <d v="2024-09-14T00:00:00"/>
    <s v="C015"/>
    <x v="17"/>
    <n v="4"/>
    <n v="216748"/>
    <n v="47986.07"/>
    <x v="11"/>
    <n v="2024"/>
    <s v="Q3"/>
    <n v="22.13910624319486"/>
  </r>
  <r>
    <s v="O0937"/>
    <d v="2024-11-03T00:00:00"/>
    <s v="C014"/>
    <x v="19"/>
    <n v="1"/>
    <n v="9101"/>
    <n v="957.38"/>
    <x v="4"/>
    <n v="2024"/>
    <s v="Q4"/>
    <n v="10.519503351280079"/>
  </r>
  <r>
    <s v="O0938"/>
    <d v="2024-12-08T00:00:00"/>
    <s v="C092"/>
    <x v="14"/>
    <n v="2"/>
    <n v="14310"/>
    <n v="1310.6400000000001"/>
    <x v="10"/>
    <n v="2024"/>
    <s v="Q4"/>
    <n v="9.1589098532494759"/>
  </r>
  <r>
    <s v="O0939"/>
    <d v="2024-12-24T00:00:00"/>
    <s v="C021"/>
    <x v="15"/>
    <n v="5"/>
    <n v="56175"/>
    <n v="4720.37"/>
    <x v="10"/>
    <n v="2024"/>
    <s v="Q4"/>
    <n v="8.4029728526924785"/>
  </r>
  <r>
    <s v="O0940"/>
    <d v="2024-08-19T00:00:00"/>
    <s v="C080"/>
    <x v="16"/>
    <n v="3"/>
    <n v="18660"/>
    <n v="3995.46"/>
    <x v="5"/>
    <n v="2024"/>
    <s v="Q3"/>
    <n v="21.411897106109326"/>
  </r>
  <r>
    <s v="O0941"/>
    <d v="2024-01-13T00:00:00"/>
    <s v="C007"/>
    <x v="9"/>
    <n v="3"/>
    <n v="33468"/>
    <n v="3584.28"/>
    <x v="8"/>
    <n v="2024"/>
    <s v="Q1"/>
    <n v="10.709573323771963"/>
  </r>
  <r>
    <s v="O0942"/>
    <d v="2024-05-09T00:00:00"/>
    <s v="C080"/>
    <x v="3"/>
    <n v="1"/>
    <n v="55695"/>
    <n v="12452.45"/>
    <x v="1"/>
    <n v="2024"/>
    <s v="Q2"/>
    <n v="22.358290690367181"/>
  </r>
  <r>
    <s v="O0943"/>
    <d v="2024-10-19T00:00:00"/>
    <s v="C014"/>
    <x v="0"/>
    <n v="3"/>
    <n v="28182"/>
    <n v="6013.8"/>
    <x v="7"/>
    <n v="2024"/>
    <s v="Q4"/>
    <n v="21.339152650628058"/>
  </r>
  <r>
    <s v="O0944"/>
    <d v="2024-03-08T00:00:00"/>
    <s v="C064"/>
    <x v="18"/>
    <n v="2"/>
    <n v="108768"/>
    <n v="25751.74"/>
    <x v="9"/>
    <n v="2024"/>
    <s v="Q1"/>
    <n v="23.675842159458664"/>
  </r>
  <r>
    <s v="O0945"/>
    <d v="2024-12-13T00:00:00"/>
    <s v="C037"/>
    <x v="19"/>
    <n v="2"/>
    <n v="18202"/>
    <n v="1943.45"/>
    <x v="10"/>
    <n v="2024"/>
    <s v="Q4"/>
    <n v="10.677123393033733"/>
  </r>
  <r>
    <s v="O0946"/>
    <d v="2024-02-25T00:00:00"/>
    <s v="C023"/>
    <x v="0"/>
    <n v="5"/>
    <n v="46970"/>
    <n v="8683.7000000000007"/>
    <x v="0"/>
    <n v="2024"/>
    <s v="Q1"/>
    <n v="18.487758143495849"/>
  </r>
  <r>
    <s v="O0947"/>
    <d v="2024-11-22T00:00:00"/>
    <s v="C001"/>
    <x v="14"/>
    <n v="5"/>
    <n v="35775"/>
    <n v="5085.4799999999996"/>
    <x v="4"/>
    <n v="2024"/>
    <s v="Q4"/>
    <n v="14.215178197064986"/>
  </r>
  <r>
    <s v="O0948"/>
    <d v="2024-04-28T00:00:00"/>
    <s v="C022"/>
    <x v="2"/>
    <n v="1"/>
    <n v="54937"/>
    <n v="5148.13"/>
    <x v="2"/>
    <n v="2024"/>
    <s v="Q2"/>
    <n v="9.3709703842583334"/>
  </r>
  <r>
    <s v="O0949"/>
    <d v="2024-06-03T00:00:00"/>
    <s v="C049"/>
    <x v="16"/>
    <n v="5"/>
    <n v="31100"/>
    <n v="3205.55"/>
    <x v="3"/>
    <n v="2024"/>
    <s v="Q2"/>
    <n v="10.307234726688105"/>
  </r>
  <r>
    <s v="O0950"/>
    <d v="2024-06-02T00:00:00"/>
    <s v="C018"/>
    <x v="16"/>
    <n v="5"/>
    <n v="31100"/>
    <n v="7686.03"/>
    <x v="3"/>
    <n v="2024"/>
    <s v="Q2"/>
    <n v="24.713922829581993"/>
  </r>
  <r>
    <s v="O0951"/>
    <d v="2024-11-23T00:00:00"/>
    <s v="C067"/>
    <x v="6"/>
    <n v="2"/>
    <n v="50318"/>
    <n v="7789.61"/>
    <x v="4"/>
    <n v="2024"/>
    <s v="Q4"/>
    <n v="15.48076235144481"/>
  </r>
  <r>
    <s v="O0952"/>
    <d v="2024-07-21T00:00:00"/>
    <s v="C097"/>
    <x v="6"/>
    <n v="1"/>
    <n v="25159"/>
    <n v="6136.09"/>
    <x v="6"/>
    <n v="2024"/>
    <s v="Q3"/>
    <n v="24.389244405580509"/>
  </r>
  <r>
    <s v="O0953"/>
    <d v="2024-08-28T00:00:00"/>
    <s v="C062"/>
    <x v="19"/>
    <n v="3"/>
    <n v="27303"/>
    <n v="5405.73"/>
    <x v="5"/>
    <n v="2024"/>
    <s v="Q3"/>
    <n v="19.799033073288648"/>
  </r>
  <r>
    <s v="O0954"/>
    <d v="2024-10-07T00:00:00"/>
    <s v="C048"/>
    <x v="12"/>
    <n v="2"/>
    <n v="13494"/>
    <n v="2174.2800000000002"/>
    <x v="7"/>
    <n v="2024"/>
    <s v="Q4"/>
    <n v="16.11293908403735"/>
  </r>
  <r>
    <s v="O0955"/>
    <d v="2024-03-11T00:00:00"/>
    <s v="C026"/>
    <x v="11"/>
    <n v="5"/>
    <n v="128040"/>
    <n v="24214"/>
    <x v="9"/>
    <n v="2024"/>
    <s v="Q1"/>
    <n v="18.911277725710715"/>
  </r>
  <r>
    <s v="O0956"/>
    <d v="2024-01-25T00:00:00"/>
    <s v="C056"/>
    <x v="14"/>
    <n v="3"/>
    <n v="21465"/>
    <n v="3510.11"/>
    <x v="8"/>
    <n v="2024"/>
    <s v="Q1"/>
    <n v="16.352713720009319"/>
  </r>
  <r>
    <s v="O0957"/>
    <d v="2024-01-22T00:00:00"/>
    <s v="C032"/>
    <x v="6"/>
    <n v="3"/>
    <n v="75477"/>
    <n v="6894.4"/>
    <x v="8"/>
    <n v="2024"/>
    <s v="Q1"/>
    <n v="9.1344383057090237"/>
  </r>
  <r>
    <s v="O0958"/>
    <d v="2024-08-18T00:00:00"/>
    <s v="C028"/>
    <x v="17"/>
    <n v="3"/>
    <n v="162561"/>
    <n v="33371.15"/>
    <x v="5"/>
    <n v="2024"/>
    <s v="Q3"/>
    <n v="20.528386267308889"/>
  </r>
  <r>
    <s v="O0959"/>
    <d v="2024-11-30T00:00:00"/>
    <s v="C057"/>
    <x v="15"/>
    <n v="5"/>
    <n v="56175"/>
    <n v="11617.82"/>
    <x v="4"/>
    <n v="2024"/>
    <s v="Q4"/>
    <n v="20.681477525589674"/>
  </r>
  <r>
    <s v="O0960"/>
    <d v="2024-12-14T00:00:00"/>
    <s v="C083"/>
    <x v="15"/>
    <n v="3"/>
    <n v="33705"/>
    <n v="2921.14"/>
    <x v="10"/>
    <n v="2024"/>
    <s v="Q4"/>
    <n v="8.666785343420857"/>
  </r>
  <r>
    <s v="O0961"/>
    <d v="2024-02-25T00:00:00"/>
    <s v="C034"/>
    <x v="13"/>
    <n v="5"/>
    <n v="279750"/>
    <n v="58432.36"/>
    <x v="0"/>
    <n v="2024"/>
    <s v="Q1"/>
    <n v="20.887349419124217"/>
  </r>
  <r>
    <s v="O0962"/>
    <d v="2024-01-03T00:00:00"/>
    <s v="C098"/>
    <x v="17"/>
    <n v="2"/>
    <n v="108374"/>
    <n v="14705.47"/>
    <x v="8"/>
    <n v="2024"/>
    <s v="Q1"/>
    <n v="13.569186336206101"/>
  </r>
  <r>
    <s v="O0963"/>
    <d v="2024-07-15T00:00:00"/>
    <s v="C095"/>
    <x v="0"/>
    <n v="2"/>
    <n v="18788"/>
    <n v="4508.54"/>
    <x v="6"/>
    <n v="2024"/>
    <s v="Q3"/>
    <n v="23.996912923142428"/>
  </r>
  <r>
    <s v="O0964"/>
    <d v="2024-07-10T00:00:00"/>
    <s v="C025"/>
    <x v="16"/>
    <n v="3"/>
    <n v="18660"/>
    <n v="3585.34"/>
    <x v="6"/>
    <n v="2024"/>
    <s v="Q3"/>
    <n v="19.214040728831726"/>
  </r>
  <r>
    <s v="O0965"/>
    <d v="2024-06-05T00:00:00"/>
    <s v="C030"/>
    <x v="19"/>
    <n v="2"/>
    <n v="18202"/>
    <n v="3302.28"/>
    <x v="3"/>
    <n v="2024"/>
    <s v="Q2"/>
    <n v="18.142401933853424"/>
  </r>
  <r>
    <s v="O0966"/>
    <d v="2024-03-20T00:00:00"/>
    <s v="C024"/>
    <x v="6"/>
    <n v="1"/>
    <n v="25159"/>
    <n v="3500.83"/>
    <x v="9"/>
    <n v="2024"/>
    <s v="Q1"/>
    <n v="13.914821733773202"/>
  </r>
  <r>
    <s v="O0967"/>
    <d v="2024-08-21T00:00:00"/>
    <s v="C089"/>
    <x v="8"/>
    <n v="4"/>
    <n v="96944"/>
    <n v="21640.06"/>
    <x v="5"/>
    <n v="2024"/>
    <s v="Q3"/>
    <n v="22.322227265225287"/>
  </r>
  <r>
    <s v="O0968"/>
    <d v="2024-02-01T00:00:00"/>
    <s v="C100"/>
    <x v="6"/>
    <n v="2"/>
    <n v="50318"/>
    <n v="9152.7900000000009"/>
    <x v="0"/>
    <n v="2024"/>
    <s v="Q1"/>
    <n v="18.189892285066975"/>
  </r>
  <r>
    <s v="O0969"/>
    <d v="2024-03-12T00:00:00"/>
    <s v="C011"/>
    <x v="0"/>
    <n v="2"/>
    <n v="18788"/>
    <n v="2133.13"/>
    <x v="9"/>
    <n v="2024"/>
    <s v="Q1"/>
    <n v="11.353683202043859"/>
  </r>
  <r>
    <s v="O0970"/>
    <d v="2024-02-12T00:00:00"/>
    <s v="C096"/>
    <x v="1"/>
    <n v="4"/>
    <n v="35492"/>
    <n v="6385.09"/>
    <x v="0"/>
    <n v="2024"/>
    <s v="Q1"/>
    <n v="17.99022314887862"/>
  </r>
  <r>
    <s v="O0971"/>
    <d v="2024-10-20T00:00:00"/>
    <s v="C005"/>
    <x v="7"/>
    <n v="4"/>
    <n v="33448"/>
    <n v="7230.69"/>
    <x v="7"/>
    <n v="2024"/>
    <s v="Q4"/>
    <n v="21.617705094475003"/>
  </r>
  <r>
    <s v="O0972"/>
    <d v="2024-06-17T00:00:00"/>
    <s v="C046"/>
    <x v="16"/>
    <n v="3"/>
    <n v="18660"/>
    <n v="3852.83"/>
    <x v="3"/>
    <n v="2024"/>
    <s v="Q2"/>
    <n v="20.647534833869237"/>
  </r>
  <r>
    <s v="O0973"/>
    <d v="2024-05-19T00:00:00"/>
    <s v="C048"/>
    <x v="19"/>
    <n v="1"/>
    <n v="9101"/>
    <n v="1326.6"/>
    <x v="1"/>
    <n v="2024"/>
    <s v="Q2"/>
    <n v="14.576420173607296"/>
  </r>
  <r>
    <s v="O0974"/>
    <d v="2024-09-08T00:00:00"/>
    <s v="C008"/>
    <x v="11"/>
    <n v="4"/>
    <n v="102432"/>
    <n v="13008.63"/>
    <x v="11"/>
    <n v="2024"/>
    <s v="Q3"/>
    <n v="12.699771555763823"/>
  </r>
  <r>
    <s v="O0975"/>
    <d v="2024-10-14T00:00:00"/>
    <s v="C041"/>
    <x v="17"/>
    <n v="4"/>
    <n v="216748"/>
    <n v="38778.36"/>
    <x v="7"/>
    <n v="2024"/>
    <s v="Q4"/>
    <n v="17.890988613505083"/>
  </r>
  <r>
    <s v="O0976"/>
    <d v="2024-07-24T00:00:00"/>
    <s v="C066"/>
    <x v="0"/>
    <n v="2"/>
    <n v="18788"/>
    <n v="3136.74"/>
    <x v="6"/>
    <n v="2024"/>
    <s v="Q3"/>
    <n v="16.69544390036193"/>
  </r>
  <r>
    <s v="O0977"/>
    <d v="2024-02-27T00:00:00"/>
    <s v="C033"/>
    <x v="14"/>
    <n v="3"/>
    <n v="21465"/>
    <n v="2452.15"/>
    <x v="0"/>
    <n v="2024"/>
    <s v="Q1"/>
    <n v="11.423945958537155"/>
  </r>
  <r>
    <s v="O0978"/>
    <d v="2024-05-09T00:00:00"/>
    <s v="C079"/>
    <x v="12"/>
    <n v="4"/>
    <n v="26988"/>
    <n v="4093.65"/>
    <x v="1"/>
    <n v="2024"/>
    <s v="Q2"/>
    <n v="15.168408181413962"/>
  </r>
  <r>
    <s v="O0979"/>
    <d v="2024-12-25T00:00:00"/>
    <s v="C078"/>
    <x v="13"/>
    <n v="1"/>
    <n v="55950"/>
    <n v="6929.97"/>
    <x v="10"/>
    <n v="2024"/>
    <s v="Q4"/>
    <n v="12.386005361930295"/>
  </r>
  <r>
    <s v="O0980"/>
    <d v="2024-08-05T00:00:00"/>
    <s v="C036"/>
    <x v="8"/>
    <n v="2"/>
    <n v="48472"/>
    <n v="7612.02"/>
    <x v="5"/>
    <n v="2024"/>
    <s v="Q3"/>
    <n v="15.703952797491336"/>
  </r>
  <r>
    <s v="O0981"/>
    <d v="2024-03-13T00:00:00"/>
    <s v="C003"/>
    <x v="13"/>
    <n v="3"/>
    <n v="167850"/>
    <n v="27987.9"/>
    <x v="9"/>
    <n v="2024"/>
    <s v="Q1"/>
    <n v="16.674352100089365"/>
  </r>
  <r>
    <s v="O0982"/>
    <d v="2024-09-10T00:00:00"/>
    <s v="C053"/>
    <x v="9"/>
    <n v="4"/>
    <n v="44624"/>
    <n v="7419.27"/>
    <x v="11"/>
    <n v="2024"/>
    <s v="Q3"/>
    <n v="16.626187701685193"/>
  </r>
  <r>
    <s v="O0983"/>
    <d v="2024-05-30T00:00:00"/>
    <s v="C067"/>
    <x v="9"/>
    <n v="4"/>
    <n v="44624"/>
    <n v="4374.08"/>
    <x v="1"/>
    <n v="2024"/>
    <s v="Q2"/>
    <n v="9.8020795984223739"/>
  </r>
  <r>
    <s v="O0984"/>
    <d v="2024-08-06T00:00:00"/>
    <s v="C053"/>
    <x v="15"/>
    <n v="1"/>
    <n v="11235"/>
    <n v="2149.44"/>
    <x v="5"/>
    <n v="2024"/>
    <s v="Q3"/>
    <n v="19.131642189586113"/>
  </r>
  <r>
    <s v="O0985"/>
    <d v="2024-05-29T00:00:00"/>
    <s v="C053"/>
    <x v="19"/>
    <n v="3"/>
    <n v="27303"/>
    <n v="4972.79"/>
    <x v="1"/>
    <n v="2024"/>
    <s v="Q2"/>
    <n v="18.21334651869758"/>
  </r>
  <r>
    <s v="O0986"/>
    <d v="2024-10-05T00:00:00"/>
    <s v="C034"/>
    <x v="3"/>
    <n v="5"/>
    <n v="278475"/>
    <n v="23636.58"/>
    <x v="7"/>
    <n v="2024"/>
    <s v="Q4"/>
    <n v="8.4878642607056296"/>
  </r>
  <r>
    <s v="O0987"/>
    <d v="2024-03-24T00:00:00"/>
    <s v="C008"/>
    <x v="14"/>
    <n v="3"/>
    <n v="21465"/>
    <n v="4422.05"/>
    <x v="9"/>
    <n v="2024"/>
    <s v="Q1"/>
    <n v="20.601211274167248"/>
  </r>
  <r>
    <s v="O0988"/>
    <d v="2024-03-14T00:00:00"/>
    <s v="C039"/>
    <x v="17"/>
    <n v="5"/>
    <n v="270935"/>
    <n v="57636.69"/>
    <x v="9"/>
    <n v="2024"/>
    <s v="Q1"/>
    <n v="21.273253732445053"/>
  </r>
  <r>
    <s v="O0989"/>
    <d v="2024-09-23T00:00:00"/>
    <s v="C011"/>
    <x v="11"/>
    <n v="4"/>
    <n v="102432"/>
    <n v="24047.33"/>
    <x v="11"/>
    <n v="2024"/>
    <s v="Q3"/>
    <n v="23.476384333020935"/>
  </r>
  <r>
    <s v="O0990"/>
    <d v="2024-03-17T00:00:00"/>
    <s v="C009"/>
    <x v="17"/>
    <n v="3"/>
    <n v="162561"/>
    <n v="38527.47"/>
    <x v="9"/>
    <n v="2024"/>
    <s v="Q1"/>
    <n v="23.700315573846126"/>
  </r>
  <r>
    <s v="O0991"/>
    <d v="2024-05-24T00:00:00"/>
    <s v="C059"/>
    <x v="1"/>
    <n v="5"/>
    <n v="44365"/>
    <n v="6020.96"/>
    <x v="1"/>
    <n v="2024"/>
    <s v="Q2"/>
    <n v="13.571418911303956"/>
  </r>
  <r>
    <s v="O0992"/>
    <d v="2024-01-10T00:00:00"/>
    <s v="C064"/>
    <x v="7"/>
    <n v="1"/>
    <n v="8362"/>
    <n v="1422.15"/>
    <x v="8"/>
    <n v="2024"/>
    <s v="Q1"/>
    <n v="17.007294905524994"/>
  </r>
  <r>
    <s v="O0993"/>
    <d v="2024-12-22T00:00:00"/>
    <s v="C081"/>
    <x v="5"/>
    <n v="2"/>
    <n v="17252"/>
    <n v="3165.76"/>
    <x v="10"/>
    <n v="2024"/>
    <s v="Q4"/>
    <n v="18.350104335729192"/>
  </r>
  <r>
    <s v="O0994"/>
    <d v="2024-03-30T00:00:00"/>
    <s v="C047"/>
    <x v="18"/>
    <n v="5"/>
    <n v="271920"/>
    <n v="28611.73"/>
    <x v="9"/>
    <n v="2024"/>
    <s v="Q1"/>
    <n v="10.522113121506326"/>
  </r>
  <r>
    <s v="O0995"/>
    <d v="2024-02-08T00:00:00"/>
    <s v="C090"/>
    <x v="13"/>
    <n v="4"/>
    <n v="223800"/>
    <n v="46809.18"/>
    <x v="0"/>
    <n v="2024"/>
    <s v="Q1"/>
    <n v="20.915630026809652"/>
  </r>
  <r>
    <s v="O0996"/>
    <d v="2024-07-08T00:00:00"/>
    <s v="C046"/>
    <x v="16"/>
    <n v="3"/>
    <n v="18660"/>
    <n v="3787.35"/>
    <x v="6"/>
    <n v="2024"/>
    <s v="Q3"/>
    <n v="20.296623794212216"/>
  </r>
  <r>
    <s v="O0997"/>
    <d v="2024-07-07T00:00:00"/>
    <s v="C040"/>
    <x v="17"/>
    <n v="4"/>
    <n v="216748"/>
    <n v="34875.480000000003"/>
    <x v="6"/>
    <n v="2024"/>
    <s v="Q3"/>
    <n v="16.090335320279774"/>
  </r>
  <r>
    <s v="O0998"/>
    <d v="2024-03-08T00:00:00"/>
    <s v="C042"/>
    <x v="4"/>
    <n v="4"/>
    <n v="45368"/>
    <n v="4797.97"/>
    <x v="9"/>
    <n v="2024"/>
    <s v="Q1"/>
    <n v="10.57567007582437"/>
  </r>
  <r>
    <s v="O0999"/>
    <d v="2024-12-21T00:00:00"/>
    <s v="C090"/>
    <x v="18"/>
    <n v="3"/>
    <n v="163152"/>
    <n v="30719.81"/>
    <x v="10"/>
    <n v="2024"/>
    <s v="Q4"/>
    <n v="18.828950916936353"/>
  </r>
  <r>
    <s v="O1000"/>
    <d v="2024-01-25T00:00:00"/>
    <s v="C033"/>
    <x v="17"/>
    <n v="5"/>
    <n v="270935"/>
    <n v="43393.36"/>
    <x v="8"/>
    <n v="2024"/>
    <s v="Q1"/>
    <n v="16.01615147544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DBE9B-9C59-46EF-ABBE-018D25B6E0B3}" name="PivotTable9" cacheId="278" applyNumberFormats="0" applyBorderFormats="0" applyFontFormats="0" applyPatternFormats="0" applyAlignmentFormats="0" applyWidthHeightFormats="1" dataCaption="Values" tag="d2114b3d-9565-4c44-8ed1-2b7787495b69" updatedVersion="8" minRefreshableVersion="5" useAutoFormatting="1" subtotalHiddenItems="1" itemPrintTitles="1" createdVersion="8" indent="0" outline="1" outlineData="1" multipleFieldFilters="0" chartFormat="6">
  <location ref="A3:B8" firstHeaderRow="1"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D7358-8C49-4A2A-ADC5-14D56BC333B2}" name="PivotTable8"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N20"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95FDF7-4B84-4BDE-94C1-35A4A3FFD9DD}" name="PivotTable7" cacheId="284" applyNumberFormats="0" applyBorderFormats="0" applyFontFormats="0" applyPatternFormats="0" applyAlignmentFormats="0" applyWidthHeightFormats="1" dataCaption="Values" tag="525fb824-d2bc-4201-8495-116cf6701225" updatedVersion="8" minRefreshableVersion="5" useAutoFormatting="1" subtotalHiddenItems="1" itemPrintTitles="1" createdVersion="8" indent="0" outline="1" outlineData="1" multipleFieldFilters="0" chartFormat="12">
  <location ref="A3:B14"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dateBetween" evalOrder="-1" id="2" name="[Orders].[Order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 fld="1" type="count" id="1" iMeasureHier="3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400917-53F9-4704-8F2E-FD1C34F3C73B}" name="PivotTable11" cacheId="287" applyNumberFormats="0" applyBorderFormats="0" applyFontFormats="0" applyPatternFormats="0" applyAlignmentFormats="0" applyWidthHeightFormats="1" dataCaption="Values" tag="5ee490ae-1a2c-4ed4-99b6-f05863b47a79" updatedVersion="8" minRefreshableVersion="5" useAutoFormatting="1" subtotalHiddenItems="1" itemPrintTitles="1" createdVersion="8" indent="0" outline="1" outlineData="1" multipleFieldFilters="0" chartFormat="10">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934A2A-D92B-4174-A0F2-E4EE9E9A5E4E}" name="PivotTable16"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O25"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7C4775-C195-4BC9-B78E-AB4E3C399829}" name="PivotTable15" cacheId="290" applyNumberFormats="0" applyBorderFormats="0" applyFontFormats="0" applyPatternFormats="0" applyAlignmentFormats="0" applyWidthHeightFormats="1" dataCaption="Values" tag="356f97a7-39e5-4965-8450-bedae59b039c" updatedVersion="8" minRefreshableVersion="5" useAutoFormatting="1" subtotalHiddenItems="1" itemPrintTitles="1" createdVersion="8" indent="0" outline="1" outlineData="1" multipleFieldFilters="0" chartFormat="4">
  <location ref="A3:B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D9E6A7-78B2-4409-BC66-F5278582F452}" name="PivotTable18" cacheId="281" applyNumberFormats="0" applyBorderFormats="0" applyFontFormats="0" applyPatternFormats="0" applyAlignmentFormats="0" applyWidthHeightFormats="1" dataCaption="Values" tag="79bcbb9f-c96f-4b40-9248-831234c8a461" updatedVersion="8" minRefreshableVersion="5" useAutoFormatting="1" subtotalHiddenItems="1" itemPrintTitles="1" createdVersion="8" indent="0" outline="1" outlineData="1" multipleFieldFilters="0" chartFormat="6">
  <location ref="A3:B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95D825-4B99-4F96-98A2-199BEFDE57BB}" name="PivotTable1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M28"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1B96B1-CEEF-4FD5-8618-3E2DBEED1B39}" name="PivotTable2"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H17" firstHeaderRow="1" firstDataRow="1" firstDataCol="1"/>
  <pivotFields count="11">
    <pivotField showAll="0"/>
    <pivotField numFmtId="14" showAll="0"/>
    <pivotField showAll="0"/>
    <pivotField showAll="0"/>
    <pivotField showAll="0"/>
    <pivotField showAll="0"/>
    <pivotField dataField="1" showAll="0"/>
    <pivotField axis="axisRow" showAll="0">
      <items count="13">
        <item x="8"/>
        <item x="0"/>
        <item x="9"/>
        <item x="2"/>
        <item x="1"/>
        <item x="3"/>
        <item x="6"/>
        <item x="5"/>
        <item x="11"/>
        <item x="7"/>
        <item x="4"/>
        <item x="10"/>
        <item t="default"/>
      </items>
    </pivotField>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F104C1-1244-4E9B-B45E-1C223B4C3760}" name="PivotTable1"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17" firstHeaderRow="1" firstDataRow="1" firstDataCol="1"/>
  <pivotFields count="11">
    <pivotField showAll="0"/>
    <pivotField numFmtId="14" showAll="0"/>
    <pivotField showAll="0"/>
    <pivotField showAll="0"/>
    <pivotField showAll="0"/>
    <pivotField dataField="1" showAll="0"/>
    <pivotField showAll="0"/>
    <pivotField axis="axisRow" showAll="0">
      <items count="13">
        <item x="8"/>
        <item x="0"/>
        <item x="9"/>
        <item x="2"/>
        <item x="1"/>
        <item x="3"/>
        <item x="6"/>
        <item x="5"/>
        <item x="11"/>
        <item x="7"/>
        <item x="4"/>
        <item x="10"/>
        <item t="default"/>
      </items>
    </pivotField>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DC72B13-91B3-4989-98B1-2C9B5D8F3ABD}" autoFormatId="16" applyNumberFormats="0" applyBorderFormats="0" applyFontFormats="0" applyPatternFormats="0" applyAlignmentFormats="0" applyWidthHeightFormats="0">
  <queryTableRefresh nextId="13" unboundColumnsRight="4">
    <queryTableFields count="11">
      <queryTableField id="1" name="Order_ID" tableColumnId="1"/>
      <queryTableField id="2" name="Order_Date" tableColumnId="2"/>
      <queryTableField id="3" name="Customer_ID" tableColumnId="3"/>
      <queryTableField id="4" name="Product_ID" tableColumnId="4"/>
      <queryTableField id="5" name="Quantity" tableColumnId="5"/>
      <queryTableField id="6" name="Sales" tableColumnId="6"/>
      <queryTableField id="7" name="Profit" tableColumnId="7"/>
      <queryTableField id="9" dataBound="0" tableColumnId="9"/>
      <queryTableField id="10" dataBound="0" tableColumnId="10"/>
      <queryTableField id="11" dataBound="0"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BAB5269-1479-40E2-B4F2-350F8F3F2F8A}" autoFormatId="16" applyNumberFormats="0" applyBorderFormats="0" applyFontFormats="0" applyPatternFormats="0" applyAlignmentFormats="0" applyWidthHeightFormats="0">
  <queryTableRefresh nextId="8">
    <queryTableFields count="7">
      <queryTableField id="1" name="Customer_ID" tableColumnId="1"/>
      <queryTableField id="2" name="Customer_Name" tableColumnId="2"/>
      <queryTableField id="3" name="Gender" tableColumnId="3"/>
      <queryTableField id="4" name="Age" tableColumnId="4"/>
      <queryTableField id="5" name="City" tableColumnId="5"/>
      <queryTableField id="6" name="State" tableColumnId="6"/>
      <queryTableField id="7" name="Segme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651E93A-AF33-4009-A1C6-C5F187AF8FD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Unit_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33A8146E-D78B-43D6-9C92-FFEE897BD42A}" autoFormatId="16" applyNumberFormats="0" applyBorderFormats="0" applyFontFormats="0" applyPatternFormats="0" applyAlignmentFormats="0" applyWidthHeightFormats="0">
  <queryTableRefresh nextId="5">
    <queryTableFields count="2">
      <queryTableField id="3" name="Order_ID" tableColumnId="1"/>
      <queryTableField id="4" name="Returne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AD8B65-62BC-4A39-B341-FF97FBC8D847}" sourceName="[Orders].[Year]">
  <pivotTables>
    <pivotTable tabId="14" name="PivotTable11"/>
    <pivotTable tabId="17" name="PivotTable18"/>
    <pivotTable tabId="12" name="PivotTable7"/>
    <pivotTable tabId="13" name="PivotTable9"/>
    <pivotTable tabId="15" name="PivotTable15"/>
  </pivotTables>
  <data>
    <olap pivotCacheId="2030567740">
      <levels count="2">
        <level uniqueName="[Orders].[Year].[(All)]" sourceCaption="(All)" count="0"/>
        <level uniqueName="[Orders].[Year].[Year]" sourceCaption="Year" count="1">
          <ranges>
            <range startItem="0">
              <i n="[Orders].[Year].&amp;[2024]" c="2024"/>
            </range>
          </ranges>
        </level>
      </levels>
      <selections count="1">
        <selection n="[Order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6BBB32A-E5C9-4DF8-9FDE-48246A26508B}" sourceName="[Orders].[Month]">
  <pivotTables>
    <pivotTable tabId="14" name="PivotTable11"/>
    <pivotTable tabId="17" name="PivotTable18"/>
    <pivotTable tabId="12" name="PivotTable7"/>
    <pivotTable tabId="13" name="PivotTable9"/>
    <pivotTable tabId="15" name="PivotTable15"/>
  </pivotTables>
  <data>
    <olap pivotCacheId="2030567740">
      <levels count="2">
        <level uniqueName="[Orders].[Month].[(All)]" sourceCaption="(All)" count="0"/>
        <level uniqueName="[Orders].[Month].[Month]" sourceCaption="Month" count="12">
          <ranges>
            <range startItem="0">
              <i n="[Orders].[Month].&amp;[April]" c="April"/>
              <i n="[Orders].[Month].&amp;[August]" c="August"/>
              <i n="[Orders].[Month].&amp;[December]" c="December"/>
              <i n="[Orders].[Month].&amp;[February]" c="February"/>
              <i n="[Orders].[Month].&amp;[January]" c="January"/>
              <i n="[Orders].[Month].&amp;[July]" c="July"/>
              <i n="[Orders].[Month].&amp;[June]" c="June"/>
              <i n="[Orders].[Month].&amp;[March]" c="March"/>
              <i n="[Orders].[Month].&amp;[May]" c="May"/>
              <i n="[Orders].[Month].&amp;[November]" c="November"/>
              <i n="[Orders].[Month].&amp;[October]" c="October"/>
              <i n="[Orders].[Month].&amp;[September]" c="September"/>
            </range>
          </ranges>
        </level>
      </levels>
      <selections count="1">
        <selection n="[Order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ABCBD0-AE7A-4708-B3CF-8AF99C128A28}" sourceName="[Customers].[Segment]">
  <pivotTables>
    <pivotTable tabId="14" name="PivotTable11"/>
    <pivotTable tabId="17" name="PivotTable18"/>
    <pivotTable tabId="12" name="PivotTable7"/>
    <pivotTable tabId="13" name="PivotTable9"/>
    <pivotTable tabId="15" name="PivotTable15"/>
  </pivotTables>
  <data>
    <olap pivotCacheId="2030567740">
      <levels count="2">
        <level uniqueName="[Customers].[Segment].[(All)]" sourceCaption="(All)" count="0"/>
        <level uniqueName="[Customers].[Segment].[Segment]" sourceCaption="Segment" count="3">
          <ranges>
            <range startItem="0">
              <i n="[Customers].[Segment].&amp;[Consumer]" c="Consumer"/>
              <i n="[Customers].[Segment].&amp;[Corporate]" c="Corporate"/>
              <i n="[Customers].[Segment].&amp;[Home Office]" c="Home Office"/>
            </range>
          </ranges>
        </level>
      </levels>
      <selections count="1">
        <selection n="[Custom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A036271-4236-4453-8E14-468700511765}" sourceName="[Customers].[State]">
  <pivotTables>
    <pivotTable tabId="13" name="PivotTable9"/>
    <pivotTable tabId="17" name="PivotTable18"/>
    <pivotTable tabId="12" name="PivotTable7"/>
    <pivotTable tabId="14" name="PivotTable11"/>
    <pivotTable tabId="15" name="PivotTable15"/>
  </pivotTables>
  <data>
    <olap pivotCacheId="2030567740">
      <levels count="2">
        <level uniqueName="[Customers].[State].[(All)]" sourceCaption="(All)" count="0"/>
        <level uniqueName="[Customers].[State].[State]" sourceCaption="State" count="4">
          <ranges>
            <range startItem="0">
              <i n="[Customers].[State].&amp;[Delhi]" c="Delhi"/>
              <i n="[Customers].[State].&amp;[Karnataka]" c="Karnataka"/>
              <i n="[Customers].[State].&amp;[Maharashtra]" c="Maharashtra"/>
              <i n="[Customers].[State].&amp;[Telangana]" c="Telangana"/>
            </range>
          </ranges>
        </level>
      </levels>
      <selections count="1">
        <selection n="[Customers].[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8E014E-5292-427C-BD2B-4D9E219B2A49}" sourceName="[Products].[Category]">
  <pivotTables>
    <pivotTable tabId="15" name="PivotTable15"/>
    <pivotTable tabId="17" name="PivotTable18"/>
    <pivotTable tabId="12" name="PivotTable7"/>
    <pivotTable tabId="13" name="PivotTable9"/>
    <pivotTable tabId="14" name="PivotTable11"/>
  </pivotTables>
  <data>
    <olap pivotCacheId="2030567740">
      <levels count="2">
        <level uniqueName="[Products].[Category].[(All)]" sourceCaption="(All)" count="0"/>
        <level uniqueName="[Products].[Category].[Category]" sourceCaption="Category" count="2">
          <ranges>
            <range startItem="0">
              <i n="[Products].[Category].&amp;[Furniture]" c="Furniture"/>
              <i n="[Products].[Category].&amp;[Technology]" c="Technology"/>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43AF024-3652-4BDC-AD90-926E6F11A6F7}" cache="Slicer_State" caption="St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A2A601A-A925-4040-944D-96631FB15341}" cache="Slicer_Year" caption="Year" level="1" rowHeight="234950"/>
  <slicer name="Month" xr10:uid="{45408481-8CBA-4337-9B39-D6B62BC38190}" cache="Slicer_Month" caption="Month" level="1" rowHeight="234950"/>
  <slicer name="Segment" xr10:uid="{732CECFB-F425-46F2-BFA4-48A041988096}" cache="Slicer_Segment" caption="Segment"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3C6C94-3F53-4E8F-90F0-126857380EF1}" cache="Slicer_Category" caption="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9E7A814-F14C-4D96-A7B0-80B34DDBE311}" cache="Slicer_Year" caption="Year" level="1" rowHeight="234950"/>
  <slicer name="Month 1" xr10:uid="{1537DADA-7B7F-44A4-A37A-A3BEB8080A52}" cache="Slicer_Month" caption="Month" startItem="4" level="1" rowHeight="234950"/>
  <slicer name="Segment 1" xr10:uid="{1966BC1B-8D9A-4084-A4F9-9213FFAA162D}" cache="Slicer_Segment" caption="Segment" level="1" rowHeight="234950"/>
  <slicer name="State 1" xr10:uid="{46D8C098-34DE-420C-BA39-9EF0256AC654}" cache="Slicer_State" caption="State" startItem="1" level="1" rowHeight="234950"/>
  <slicer name="Category 1" xr10:uid="{BF320F3A-FBB5-4A04-AEB9-070B190ACEC9}"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BF7296-C8CE-4EF7-AB69-CC34E52EA572}" name="Orders" displayName="Orders" ref="A1:K1001" tableType="queryTable" totalsRowShown="0">
  <autoFilter ref="A1:K1001" xr:uid="{33BF7296-C8CE-4EF7-AB69-CC34E52EA572}"/>
  <tableColumns count="11">
    <tableColumn id="1" xr3:uid="{29CB9C3D-CF05-4C2F-9B39-A995C5B615E9}" uniqueName="1" name="Order_ID" queryTableFieldId="1" dataDxfId="9"/>
    <tableColumn id="2" xr3:uid="{E598AECE-B2DC-4A67-8900-42F35A79F26C}" uniqueName="2" name="Order_Date" queryTableFieldId="2" dataDxfId="3"/>
    <tableColumn id="3" xr3:uid="{C156B9D4-AE3E-468D-A81F-6D422803DE66}" uniqueName="3" name="Customer_ID" queryTableFieldId="3" dataDxfId="8"/>
    <tableColumn id="4" xr3:uid="{F599A224-F0F2-4305-8A39-8208DE0BA45E}" uniqueName="4" name="Product_ID" queryTableFieldId="4" dataDxfId="7"/>
    <tableColumn id="5" xr3:uid="{431F523E-4DCA-4C99-8001-7E898F5C5393}" uniqueName="5" name="Quantity" queryTableFieldId="5"/>
    <tableColumn id="6" xr3:uid="{13F53611-6A25-4CD6-9388-974883917FC0}" uniqueName="6" name="Sales" queryTableFieldId="6"/>
    <tableColumn id="7" xr3:uid="{3E04E05C-B9C7-4743-80C1-A312DE5FF336}" uniqueName="7" name="Profit" queryTableFieldId="7"/>
    <tableColumn id="9" xr3:uid="{CDE1E67A-75A1-41FB-99AE-B8D50743E7F8}" uniqueName="9" name="Month" queryTableFieldId="9" dataDxfId="6">
      <calculatedColumnFormula>TEXT(Orders[[#This Row],[Order_Date]],"mmmm")</calculatedColumnFormula>
    </tableColumn>
    <tableColumn id="10" xr3:uid="{B265CC2B-EC53-42F8-AB71-67D4EBA2463D}" uniqueName="10" name="Year" queryTableFieldId="10" dataDxfId="5">
      <calculatedColumnFormula>YEAR(Orders[[#This Row],[Order_Date]])</calculatedColumnFormula>
    </tableColumn>
    <tableColumn id="11" xr3:uid="{4BC46F93-5551-447A-859A-4F0573CC90E1}" uniqueName="11" name="Quarter" queryTableFieldId="11" dataDxfId="4">
      <calculatedColumnFormula>"Q"&amp;ROUNDUP(MONTH(Orders[[#This Row],[Order_Date]])/3,0)</calculatedColumnFormula>
    </tableColumn>
    <tableColumn id="12" xr3:uid="{71760F00-5753-4419-A22B-5AB126E593D9}" uniqueName="12" name="Profit Margin %" queryTableFieldId="12" dataDxfId="2">
      <calculatedColumnFormula>(Orders[[#This Row],[Profit]]/Orders[[#This Row],[Sales]])*100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1E59A1-A306-4EA4-BDD1-21E9ACF192E8}" name="Customers" displayName="Customers" ref="A1:G101" tableType="queryTable" totalsRowShown="0">
  <autoFilter ref="A1:G101" xr:uid="{E41E59A1-A306-4EA4-BDD1-21E9ACF192E8}"/>
  <tableColumns count="7">
    <tableColumn id="1" xr3:uid="{44FA3EB5-8B4E-4E45-8134-66A4C73C0752}" uniqueName="1" name="Customer_ID" queryTableFieldId="1" dataDxfId="19"/>
    <tableColumn id="2" xr3:uid="{F73F502F-2B0D-4094-A88E-A0B67B67823E}" uniqueName="2" name="Customer_Name" queryTableFieldId="2" dataDxfId="18"/>
    <tableColumn id="3" xr3:uid="{0CAEE21E-88C6-4FCB-8A48-275739D5B764}" uniqueName="3" name="Gender" queryTableFieldId="3" dataDxfId="17"/>
    <tableColumn id="4" xr3:uid="{238827AB-5D04-4541-B6FA-64517BDEF0AD}" uniqueName="4" name="Age" queryTableFieldId="4"/>
    <tableColumn id="5" xr3:uid="{4E56675E-6B7E-4C7A-8AD7-FBABEC37B272}" uniqueName="5" name="City" queryTableFieldId="5" dataDxfId="16"/>
    <tableColumn id="6" xr3:uid="{9767F3AD-43DF-4F98-ABEB-34C70768527F}" uniqueName="6" name="State" queryTableFieldId="6" dataDxfId="15"/>
    <tableColumn id="7" xr3:uid="{1EB08E62-8B0B-40C0-B3F6-378093183685}" uniqueName="7" name="Segment"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C6BBD8-CF58-4961-B6A0-3695FE7DE89F}" name="Products" displayName="Products" ref="A1:E21" tableType="queryTable" totalsRowShown="0">
  <autoFilter ref="A1:E21" xr:uid="{D5C6BBD8-CF58-4961-B6A0-3695FE7DE89F}"/>
  <tableColumns count="5">
    <tableColumn id="1" xr3:uid="{626C9724-0718-46BA-A2C6-5E7CCAD0C9F3}" uniqueName="1" name="Product_ID" queryTableFieldId="1" dataDxfId="13"/>
    <tableColumn id="2" xr3:uid="{8A527A2E-FAC5-4A3E-9E8A-22F6FEA31080}" uniqueName="2" name="Product_Name" queryTableFieldId="2" dataDxfId="12"/>
    <tableColumn id="3" xr3:uid="{62DE26D1-45B2-448D-B8AA-DDF166605093}" uniqueName="3" name="Category" queryTableFieldId="3" dataDxfId="11"/>
    <tableColumn id="4" xr3:uid="{B106BBE1-B729-4BF9-AAAA-A41145955FB8}" uniqueName="4" name="Sub_Category" queryTableFieldId="4" dataDxfId="10"/>
    <tableColumn id="5" xr3:uid="{2D71F325-F159-4444-B057-6BC59AF558D8}" uniqueName="5" name="Unit_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E97DFB-59DC-4CC9-ACCA-01EE26C1439C}" name="Returns" displayName="Returns" ref="A1:B1001" tableType="queryTable" totalsRowShown="0">
  <autoFilter ref="A1:B1001" xr:uid="{BFE97DFB-59DC-4CC9-ACCA-01EE26C1439C}"/>
  <tableColumns count="2">
    <tableColumn id="1" xr3:uid="{C58FA5BA-CA2C-4FF2-BA9D-06F4568B3E30}" uniqueName="1" name="Order_ID" queryTableFieldId="3" dataDxfId="1"/>
    <tableColumn id="2" xr3:uid="{5C8B2B90-CBF6-4C18-B67E-82DDF7DBC319}" uniqueName="2" name="Returned"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4A5CF46-B30D-4274-96B4-D1D55DC0BDBA}" sourceName="[Orders].[Order_Date]">
  <pivotTables>
    <pivotTable tabId="13" name="PivotTable9"/>
    <pivotTable tabId="17" name="PivotTable18"/>
    <pivotTable tabId="12" name="PivotTable7"/>
    <pivotTable tabId="14" name="PivotTable11"/>
    <pivotTable tabId="15" name="PivotTable15"/>
  </pivotTables>
  <state minimalRefreshVersion="6" lastRefreshVersion="6" pivotCacheId="671517267" filterType="dateBetween">
    <selection startDate="2024-05-01T00:00:00" endDate="2024-05-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657FDF3-8B2F-4440-B13D-DB37B350AF8C}" cache="Timeline_Order_Date" caption="Order_Date" level="2" selectionLevel="2" scrollPosition="2024-04-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2CFB-04A8-4D0C-8D9E-35DFE933A340}">
  <dimension ref="A1:K1001"/>
  <sheetViews>
    <sheetView workbookViewId="0">
      <selection activeCell="M7" sqref="M7"/>
    </sheetView>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5" width="10.5546875" bestFit="1" customWidth="1"/>
    <col min="6" max="6" width="7.44140625" bestFit="1" customWidth="1"/>
    <col min="7" max="7" width="9" bestFit="1" customWidth="1"/>
    <col min="8" max="8" width="9.77734375" bestFit="1" customWidth="1"/>
    <col min="9" max="9" width="6.88671875" bestFit="1" customWidth="1"/>
    <col min="10" max="10" width="9.6640625" bestFit="1" customWidth="1"/>
    <col min="11" max="11" width="16.33203125" bestFit="1" customWidth="1"/>
  </cols>
  <sheetData>
    <row r="1" spans="1:11" x14ac:dyDescent="0.3">
      <c r="A1" t="s">
        <v>220</v>
      </c>
      <c r="B1" t="s">
        <v>221</v>
      </c>
      <c r="C1" t="s">
        <v>0</v>
      </c>
      <c r="D1" t="s">
        <v>222</v>
      </c>
      <c r="E1" t="s">
        <v>223</v>
      </c>
      <c r="F1" t="s">
        <v>224</v>
      </c>
      <c r="G1" t="s">
        <v>225</v>
      </c>
      <c r="H1" t="s">
        <v>1280</v>
      </c>
      <c r="I1" t="s">
        <v>1281</v>
      </c>
      <c r="J1" t="s">
        <v>1282</v>
      </c>
      <c r="K1" t="s">
        <v>1283</v>
      </c>
    </row>
    <row r="2" spans="1:11" x14ac:dyDescent="0.3">
      <c r="A2" t="s">
        <v>226</v>
      </c>
      <c r="B2" s="1">
        <v>45344</v>
      </c>
      <c r="C2" t="s">
        <v>194</v>
      </c>
      <c r="D2" t="s">
        <v>227</v>
      </c>
      <c r="E2">
        <v>2</v>
      </c>
      <c r="F2">
        <v>18788</v>
      </c>
      <c r="G2">
        <v>3879.37</v>
      </c>
      <c r="H2" t="str">
        <f>TEXT(Orders[[#This Row],[Order_Date]],"mmmm")</f>
        <v>February</v>
      </c>
      <c r="I2">
        <f>YEAR(Orders[[#This Row],[Order_Date]])</f>
        <v>2024</v>
      </c>
      <c r="J2" t="str">
        <f>"Q"&amp;ROUNDUP(MONTH(Orders[[#This Row],[Order_Date]])/3,0)</f>
        <v>Q1</v>
      </c>
      <c r="K2" s="2">
        <f>(Orders[[#This Row],[Profit]]/Orders[[#This Row],[Sales]])*100</f>
        <v>20.648126463700233</v>
      </c>
    </row>
    <row r="3" spans="1:11" x14ac:dyDescent="0.3">
      <c r="A3" t="s">
        <v>228</v>
      </c>
      <c r="B3" s="1">
        <v>45442</v>
      </c>
      <c r="C3" t="s">
        <v>130</v>
      </c>
      <c r="D3" t="s">
        <v>229</v>
      </c>
      <c r="E3">
        <v>5</v>
      </c>
      <c r="F3">
        <v>44365</v>
      </c>
      <c r="G3">
        <v>10406.6</v>
      </c>
      <c r="H3" t="str">
        <f>TEXT(Orders[[#This Row],[Order_Date]],"mmmm")</f>
        <v>May</v>
      </c>
      <c r="I3">
        <f>YEAR(Orders[[#This Row],[Order_Date]])</f>
        <v>2024</v>
      </c>
      <c r="J3" t="str">
        <f>"Q"&amp;ROUNDUP(MONTH(Orders[[#This Row],[Order_Date]])/3,0)</f>
        <v>Q2</v>
      </c>
      <c r="K3" s="2">
        <f>(Orders[[#This Row],[Profit]]/Orders[[#This Row],[Sales]])*100</f>
        <v>23.456778992449003</v>
      </c>
    </row>
    <row r="4" spans="1:11" x14ac:dyDescent="0.3">
      <c r="A4" t="s">
        <v>230</v>
      </c>
      <c r="B4" s="1">
        <v>45398</v>
      </c>
      <c r="C4" t="s">
        <v>160</v>
      </c>
      <c r="D4" t="s">
        <v>231</v>
      </c>
      <c r="E4">
        <v>4</v>
      </c>
      <c r="F4">
        <v>219748</v>
      </c>
      <c r="G4">
        <v>29327.16</v>
      </c>
      <c r="H4" t="str">
        <f>TEXT(Orders[[#This Row],[Order_Date]],"mmmm")</f>
        <v>April</v>
      </c>
      <c r="I4">
        <f>YEAR(Orders[[#This Row],[Order_Date]])</f>
        <v>2024</v>
      </c>
      <c r="J4" t="str">
        <f>"Q"&amp;ROUNDUP(MONTH(Orders[[#This Row],[Order_Date]])/3,0)</f>
        <v>Q2</v>
      </c>
      <c r="K4" s="2">
        <f>(Orders[[#This Row],[Profit]]/Orders[[#This Row],[Sales]])*100</f>
        <v>13.345814296375849</v>
      </c>
    </row>
    <row r="5" spans="1:11" x14ac:dyDescent="0.3">
      <c r="A5" t="s">
        <v>232</v>
      </c>
      <c r="B5" s="1">
        <v>45443</v>
      </c>
      <c r="C5" t="s">
        <v>186</v>
      </c>
      <c r="D5" t="s">
        <v>233</v>
      </c>
      <c r="E5">
        <v>1</v>
      </c>
      <c r="F5">
        <v>55695</v>
      </c>
      <c r="G5">
        <v>4713.7299999999996</v>
      </c>
      <c r="H5" t="str">
        <f>TEXT(Orders[[#This Row],[Order_Date]],"mmmm")</f>
        <v>May</v>
      </c>
      <c r="I5">
        <f>YEAR(Orders[[#This Row],[Order_Date]])</f>
        <v>2024</v>
      </c>
      <c r="J5" t="str">
        <f>"Q"&amp;ROUNDUP(MONTH(Orders[[#This Row],[Order_Date]])/3,0)</f>
        <v>Q2</v>
      </c>
      <c r="K5" s="2">
        <f>(Orders[[#This Row],[Profit]]/Orders[[#This Row],[Sales]])*100</f>
        <v>8.4634706885716842</v>
      </c>
    </row>
    <row r="6" spans="1:11" x14ac:dyDescent="0.3">
      <c r="A6" t="s">
        <v>234</v>
      </c>
      <c r="B6" s="1">
        <v>45452</v>
      </c>
      <c r="C6" t="s">
        <v>204</v>
      </c>
      <c r="D6" t="s">
        <v>235</v>
      </c>
      <c r="E6">
        <v>3</v>
      </c>
      <c r="F6">
        <v>34026</v>
      </c>
      <c r="G6">
        <v>5324.17</v>
      </c>
      <c r="H6" t="str">
        <f>TEXT(Orders[[#This Row],[Order_Date]],"mmmm")</f>
        <v>June</v>
      </c>
      <c r="I6">
        <f>YEAR(Orders[[#This Row],[Order_Date]])</f>
        <v>2024</v>
      </c>
      <c r="J6" t="str">
        <f>"Q"&amp;ROUNDUP(MONTH(Orders[[#This Row],[Order_Date]])/3,0)</f>
        <v>Q2</v>
      </c>
      <c r="K6" s="2">
        <f>(Orders[[#This Row],[Profit]]/Orders[[#This Row],[Sales]])*100</f>
        <v>15.647357902780227</v>
      </c>
    </row>
    <row r="7" spans="1:11" x14ac:dyDescent="0.3">
      <c r="A7" t="s">
        <v>236</v>
      </c>
      <c r="B7" s="1">
        <v>45599</v>
      </c>
      <c r="C7" t="s">
        <v>122</v>
      </c>
      <c r="D7" t="s">
        <v>237</v>
      </c>
      <c r="E7">
        <v>1</v>
      </c>
      <c r="F7">
        <v>8626</v>
      </c>
      <c r="G7">
        <v>2029.5</v>
      </c>
      <c r="H7" t="str">
        <f>TEXT(Orders[[#This Row],[Order_Date]],"mmmm")</f>
        <v>November</v>
      </c>
      <c r="I7">
        <f>YEAR(Orders[[#This Row],[Order_Date]])</f>
        <v>2024</v>
      </c>
      <c r="J7" t="str">
        <f>"Q"&amp;ROUNDUP(MONTH(Orders[[#This Row],[Order_Date]])/3,0)</f>
        <v>Q4</v>
      </c>
      <c r="K7" s="2">
        <f>(Orders[[#This Row],[Profit]]/Orders[[#This Row],[Sales]])*100</f>
        <v>23.527706932529561</v>
      </c>
    </row>
    <row r="8" spans="1:11" x14ac:dyDescent="0.3">
      <c r="A8" t="s">
        <v>238</v>
      </c>
      <c r="B8" s="1">
        <v>45608</v>
      </c>
      <c r="C8" t="s">
        <v>136</v>
      </c>
      <c r="D8" t="s">
        <v>239</v>
      </c>
      <c r="E8">
        <v>3</v>
      </c>
      <c r="F8">
        <v>75477</v>
      </c>
      <c r="G8">
        <v>8799.32</v>
      </c>
      <c r="H8" t="str">
        <f>TEXT(Orders[[#This Row],[Order_Date]],"mmmm")</f>
        <v>November</v>
      </c>
      <c r="I8">
        <f>YEAR(Orders[[#This Row],[Order_Date]])</f>
        <v>2024</v>
      </c>
      <c r="J8" t="str">
        <f>"Q"&amp;ROUNDUP(MONTH(Orders[[#This Row],[Order_Date]])/3,0)</f>
        <v>Q4</v>
      </c>
      <c r="K8" s="2">
        <f>(Orders[[#This Row],[Profit]]/Orders[[#This Row],[Sales]])*100</f>
        <v>11.658280005829589</v>
      </c>
    </row>
    <row r="9" spans="1:11" x14ac:dyDescent="0.3">
      <c r="A9" t="s">
        <v>240</v>
      </c>
      <c r="B9" s="1">
        <v>45424</v>
      </c>
      <c r="C9" t="s">
        <v>218</v>
      </c>
      <c r="D9" t="s">
        <v>241</v>
      </c>
      <c r="E9">
        <v>4</v>
      </c>
      <c r="F9">
        <v>33448</v>
      </c>
      <c r="G9">
        <v>6439.14</v>
      </c>
      <c r="H9" t="str">
        <f>TEXT(Orders[[#This Row],[Order_Date]],"mmmm")</f>
        <v>May</v>
      </c>
      <c r="I9">
        <f>YEAR(Orders[[#This Row],[Order_Date]])</f>
        <v>2024</v>
      </c>
      <c r="J9" t="str">
        <f>"Q"&amp;ROUNDUP(MONTH(Orders[[#This Row],[Order_Date]])/3,0)</f>
        <v>Q2</v>
      </c>
      <c r="K9" s="2">
        <f>(Orders[[#This Row],[Profit]]/Orders[[#This Row],[Sales]])*100</f>
        <v>19.251195886151638</v>
      </c>
    </row>
    <row r="10" spans="1:11" x14ac:dyDescent="0.3">
      <c r="A10" t="s">
        <v>242</v>
      </c>
      <c r="B10" s="1">
        <v>45418</v>
      </c>
      <c r="C10" t="s">
        <v>66</v>
      </c>
      <c r="D10" t="s">
        <v>241</v>
      </c>
      <c r="E10">
        <v>2</v>
      </c>
      <c r="F10">
        <v>16724</v>
      </c>
      <c r="G10">
        <v>2211.66</v>
      </c>
      <c r="H10" t="str">
        <f>TEXT(Orders[[#This Row],[Order_Date]],"mmmm")</f>
        <v>May</v>
      </c>
      <c r="I10">
        <f>YEAR(Orders[[#This Row],[Order_Date]])</f>
        <v>2024</v>
      </c>
      <c r="J10" t="str">
        <f>"Q"&amp;ROUNDUP(MONTH(Orders[[#This Row],[Order_Date]])/3,0)</f>
        <v>Q2</v>
      </c>
      <c r="K10" s="2">
        <f>(Orders[[#This Row],[Profit]]/Orders[[#This Row],[Sales]])*100</f>
        <v>13.224467830662521</v>
      </c>
    </row>
    <row r="11" spans="1:11" x14ac:dyDescent="0.3">
      <c r="A11" t="s">
        <v>243</v>
      </c>
      <c r="B11" s="1">
        <v>45521</v>
      </c>
      <c r="C11" t="s">
        <v>112</v>
      </c>
      <c r="D11" t="s">
        <v>237</v>
      </c>
      <c r="E11">
        <v>3</v>
      </c>
      <c r="F11">
        <v>25878</v>
      </c>
      <c r="G11">
        <v>2463.6</v>
      </c>
      <c r="H11" t="str">
        <f>TEXT(Orders[[#This Row],[Order_Date]],"mmmm")</f>
        <v>August</v>
      </c>
      <c r="I11">
        <f>YEAR(Orders[[#This Row],[Order_Date]])</f>
        <v>2024</v>
      </c>
      <c r="J11" t="str">
        <f>"Q"&amp;ROUNDUP(MONTH(Orders[[#This Row],[Order_Date]])/3,0)</f>
        <v>Q3</v>
      </c>
      <c r="K11" s="2">
        <f>(Orders[[#This Row],[Profit]]/Orders[[#This Row],[Sales]])*100</f>
        <v>9.5200556457222341</v>
      </c>
    </row>
    <row r="12" spans="1:11" x14ac:dyDescent="0.3">
      <c r="A12" t="s">
        <v>244</v>
      </c>
      <c r="B12" s="1">
        <v>45491</v>
      </c>
      <c r="C12" t="s">
        <v>41</v>
      </c>
      <c r="D12" t="s">
        <v>245</v>
      </c>
      <c r="E12">
        <v>3</v>
      </c>
      <c r="F12">
        <v>72708</v>
      </c>
      <c r="G12">
        <v>17444.46</v>
      </c>
      <c r="H12" t="str">
        <f>TEXT(Orders[[#This Row],[Order_Date]],"mmmm")</f>
        <v>July</v>
      </c>
      <c r="I12">
        <f>YEAR(Orders[[#This Row],[Order_Date]])</f>
        <v>2024</v>
      </c>
      <c r="J12" t="str">
        <f>"Q"&amp;ROUNDUP(MONTH(Orders[[#This Row],[Order_Date]])/3,0)</f>
        <v>Q3</v>
      </c>
      <c r="K12" s="2">
        <f>(Orders[[#This Row],[Profit]]/Orders[[#This Row],[Sales]])*100</f>
        <v>23.992490509985146</v>
      </c>
    </row>
    <row r="13" spans="1:11" x14ac:dyDescent="0.3">
      <c r="A13" t="s">
        <v>246</v>
      </c>
      <c r="B13" s="1">
        <v>45588</v>
      </c>
      <c r="C13" t="s">
        <v>98</v>
      </c>
      <c r="D13" t="s">
        <v>247</v>
      </c>
      <c r="E13">
        <v>3</v>
      </c>
      <c r="F13">
        <v>33468</v>
      </c>
      <c r="G13">
        <v>3740.32</v>
      </c>
      <c r="H13" t="str">
        <f>TEXT(Orders[[#This Row],[Order_Date]],"mmmm")</f>
        <v>October</v>
      </c>
      <c r="I13">
        <f>YEAR(Orders[[#This Row],[Order_Date]])</f>
        <v>2024</v>
      </c>
      <c r="J13" t="str">
        <f>"Q"&amp;ROUNDUP(MONTH(Orders[[#This Row],[Order_Date]])/3,0)</f>
        <v>Q4</v>
      </c>
      <c r="K13" s="2">
        <f>(Orders[[#This Row],[Profit]]/Orders[[#This Row],[Sales]])*100</f>
        <v>11.175809728696068</v>
      </c>
    </row>
    <row r="14" spans="1:11" x14ac:dyDescent="0.3">
      <c r="A14" t="s">
        <v>248</v>
      </c>
      <c r="B14" s="1">
        <v>45605</v>
      </c>
      <c r="C14" t="s">
        <v>96</v>
      </c>
      <c r="D14" t="s">
        <v>227</v>
      </c>
      <c r="E14">
        <v>3</v>
      </c>
      <c r="F14">
        <v>28182</v>
      </c>
      <c r="G14">
        <v>2738.19</v>
      </c>
      <c r="H14" t="str">
        <f>TEXT(Orders[[#This Row],[Order_Date]],"mmmm")</f>
        <v>November</v>
      </c>
      <c r="I14">
        <f>YEAR(Orders[[#This Row],[Order_Date]])</f>
        <v>2024</v>
      </c>
      <c r="J14" t="str">
        <f>"Q"&amp;ROUNDUP(MONTH(Orders[[#This Row],[Order_Date]])/3,0)</f>
        <v>Q4</v>
      </c>
      <c r="K14" s="2">
        <f>(Orders[[#This Row],[Profit]]/Orders[[#This Row],[Sales]])*100</f>
        <v>9.716095380029806</v>
      </c>
    </row>
    <row r="15" spans="1:11" x14ac:dyDescent="0.3">
      <c r="A15" t="s">
        <v>249</v>
      </c>
      <c r="B15" s="1">
        <v>45302</v>
      </c>
      <c r="C15" t="s">
        <v>168</v>
      </c>
      <c r="D15" t="s">
        <v>235</v>
      </c>
      <c r="E15">
        <v>1</v>
      </c>
      <c r="F15">
        <v>11342</v>
      </c>
      <c r="G15">
        <v>1379.94</v>
      </c>
      <c r="H15" t="str">
        <f>TEXT(Orders[[#This Row],[Order_Date]],"mmmm")</f>
        <v>January</v>
      </c>
      <c r="I15">
        <f>YEAR(Orders[[#This Row],[Order_Date]])</f>
        <v>2024</v>
      </c>
      <c r="J15" t="str">
        <f>"Q"&amp;ROUNDUP(MONTH(Orders[[#This Row],[Order_Date]])/3,0)</f>
        <v>Q1</v>
      </c>
      <c r="K15" s="2">
        <f>(Orders[[#This Row],[Profit]]/Orders[[#This Row],[Sales]])*100</f>
        <v>12.166637277376125</v>
      </c>
    </row>
    <row r="16" spans="1:11" x14ac:dyDescent="0.3">
      <c r="A16" t="s">
        <v>250</v>
      </c>
      <c r="B16" s="1">
        <v>45328</v>
      </c>
      <c r="C16" t="s">
        <v>82</v>
      </c>
      <c r="D16" t="s">
        <v>229</v>
      </c>
      <c r="E16">
        <v>1</v>
      </c>
      <c r="F16">
        <v>8873</v>
      </c>
      <c r="G16">
        <v>1114.19</v>
      </c>
      <c r="H16" t="str">
        <f>TEXT(Orders[[#This Row],[Order_Date]],"mmmm")</f>
        <v>February</v>
      </c>
      <c r="I16">
        <f>YEAR(Orders[[#This Row],[Order_Date]])</f>
        <v>2024</v>
      </c>
      <c r="J16" t="str">
        <f>"Q"&amp;ROUNDUP(MONTH(Orders[[#This Row],[Order_Date]])/3,0)</f>
        <v>Q1</v>
      </c>
      <c r="K16" s="2">
        <f>(Orders[[#This Row],[Profit]]/Orders[[#This Row],[Sales]])*100</f>
        <v>12.557083286374397</v>
      </c>
    </row>
    <row r="17" spans="1:11" x14ac:dyDescent="0.3">
      <c r="A17" t="s">
        <v>251</v>
      </c>
      <c r="B17" s="1">
        <v>45440</v>
      </c>
      <c r="C17" t="s">
        <v>206</v>
      </c>
      <c r="D17" t="s">
        <v>237</v>
      </c>
      <c r="E17">
        <v>1</v>
      </c>
      <c r="F17">
        <v>8626</v>
      </c>
      <c r="G17">
        <v>1621.82</v>
      </c>
      <c r="H17" t="str">
        <f>TEXT(Orders[[#This Row],[Order_Date]],"mmmm")</f>
        <v>May</v>
      </c>
      <c r="I17">
        <f>YEAR(Orders[[#This Row],[Order_Date]])</f>
        <v>2024</v>
      </c>
      <c r="J17" t="str">
        <f>"Q"&amp;ROUNDUP(MONTH(Orders[[#This Row],[Order_Date]])/3,0)</f>
        <v>Q2</v>
      </c>
      <c r="K17" s="2">
        <f>(Orders[[#This Row],[Profit]]/Orders[[#This Row],[Sales]])*100</f>
        <v>18.801530257361463</v>
      </c>
    </row>
    <row r="18" spans="1:11" x14ac:dyDescent="0.3">
      <c r="A18" t="s">
        <v>252</v>
      </c>
      <c r="B18" s="1">
        <v>45370</v>
      </c>
      <c r="C18" t="s">
        <v>212</v>
      </c>
      <c r="D18" t="s">
        <v>253</v>
      </c>
      <c r="E18">
        <v>4</v>
      </c>
      <c r="F18">
        <v>24100</v>
      </c>
      <c r="G18">
        <v>3848.81</v>
      </c>
      <c r="H18" t="str">
        <f>TEXT(Orders[[#This Row],[Order_Date]],"mmmm")</f>
        <v>March</v>
      </c>
      <c r="I18">
        <f>YEAR(Orders[[#This Row],[Order_Date]])</f>
        <v>2024</v>
      </c>
      <c r="J18" t="str">
        <f>"Q"&amp;ROUNDUP(MONTH(Orders[[#This Row],[Order_Date]])/3,0)</f>
        <v>Q1</v>
      </c>
      <c r="K18" s="2">
        <f>(Orders[[#This Row],[Profit]]/Orders[[#This Row],[Sales]])*100</f>
        <v>15.970165975103734</v>
      </c>
    </row>
    <row r="19" spans="1:11" x14ac:dyDescent="0.3">
      <c r="A19" t="s">
        <v>254</v>
      </c>
      <c r="B19" s="1">
        <v>45632</v>
      </c>
      <c r="C19" t="s">
        <v>43</v>
      </c>
      <c r="D19" t="s">
        <v>255</v>
      </c>
      <c r="E19">
        <v>3</v>
      </c>
      <c r="F19">
        <v>76824</v>
      </c>
      <c r="G19">
        <v>7152.94</v>
      </c>
      <c r="H19" t="str">
        <f>TEXT(Orders[[#This Row],[Order_Date]],"mmmm")</f>
        <v>December</v>
      </c>
      <c r="I19">
        <f>YEAR(Orders[[#This Row],[Order_Date]])</f>
        <v>2024</v>
      </c>
      <c r="J19" t="str">
        <f>"Q"&amp;ROUNDUP(MONTH(Orders[[#This Row],[Order_Date]])/3,0)</f>
        <v>Q4</v>
      </c>
      <c r="K19" s="2">
        <f>(Orders[[#This Row],[Profit]]/Orders[[#This Row],[Sales]])*100</f>
        <v>9.3108143288555656</v>
      </c>
    </row>
    <row r="20" spans="1:11" x14ac:dyDescent="0.3">
      <c r="A20" t="s">
        <v>256</v>
      </c>
      <c r="B20" s="1">
        <v>45455</v>
      </c>
      <c r="C20" t="s">
        <v>64</v>
      </c>
      <c r="D20" t="s">
        <v>257</v>
      </c>
      <c r="E20">
        <v>2</v>
      </c>
      <c r="F20">
        <v>13494</v>
      </c>
      <c r="G20">
        <v>3338.85</v>
      </c>
      <c r="H20" t="str">
        <f>TEXT(Orders[[#This Row],[Order_Date]],"mmmm")</f>
        <v>June</v>
      </c>
      <c r="I20">
        <f>YEAR(Orders[[#This Row],[Order_Date]])</f>
        <v>2024</v>
      </c>
      <c r="J20" t="str">
        <f>"Q"&amp;ROUNDUP(MONTH(Orders[[#This Row],[Order_Date]])/3,0)</f>
        <v>Q2</v>
      </c>
      <c r="K20" s="2">
        <f>(Orders[[#This Row],[Profit]]/Orders[[#This Row],[Sales]])*100</f>
        <v>24.743219208537127</v>
      </c>
    </row>
    <row r="21" spans="1:11" x14ac:dyDescent="0.3">
      <c r="A21" t="s">
        <v>258</v>
      </c>
      <c r="B21" s="1">
        <v>45600</v>
      </c>
      <c r="C21" t="s">
        <v>98</v>
      </c>
      <c r="D21" t="s">
        <v>239</v>
      </c>
      <c r="E21">
        <v>5</v>
      </c>
      <c r="F21">
        <v>125795</v>
      </c>
      <c r="G21">
        <v>27913.55</v>
      </c>
      <c r="H21" t="str">
        <f>TEXT(Orders[[#This Row],[Order_Date]],"mmmm")</f>
        <v>November</v>
      </c>
      <c r="I21">
        <f>YEAR(Orders[[#This Row],[Order_Date]])</f>
        <v>2024</v>
      </c>
      <c r="J21" t="str">
        <f>"Q"&amp;ROUNDUP(MONTH(Orders[[#This Row],[Order_Date]])/3,0)</f>
        <v>Q4</v>
      </c>
      <c r="K21" s="2">
        <f>(Orders[[#This Row],[Profit]]/Orders[[#This Row],[Sales]])*100</f>
        <v>22.18971342263206</v>
      </c>
    </row>
    <row r="22" spans="1:11" x14ac:dyDescent="0.3">
      <c r="A22" t="s">
        <v>259</v>
      </c>
      <c r="B22" s="1">
        <v>45308</v>
      </c>
      <c r="C22" t="s">
        <v>94</v>
      </c>
      <c r="D22" t="s">
        <v>260</v>
      </c>
      <c r="E22">
        <v>2</v>
      </c>
      <c r="F22">
        <v>111900</v>
      </c>
      <c r="G22">
        <v>11647.19</v>
      </c>
      <c r="H22" t="str">
        <f>TEXT(Orders[[#This Row],[Order_Date]],"mmmm")</f>
        <v>January</v>
      </c>
      <c r="I22">
        <f>YEAR(Orders[[#This Row],[Order_Date]])</f>
        <v>2024</v>
      </c>
      <c r="J22" t="str">
        <f>"Q"&amp;ROUNDUP(MONTH(Orders[[#This Row],[Order_Date]])/3,0)</f>
        <v>Q1</v>
      </c>
      <c r="K22" s="2">
        <f>(Orders[[#This Row],[Profit]]/Orders[[#This Row],[Sales]])*100</f>
        <v>10.40857015192136</v>
      </c>
    </row>
    <row r="23" spans="1:11" x14ac:dyDescent="0.3">
      <c r="A23" t="s">
        <v>261</v>
      </c>
      <c r="B23" s="1">
        <v>45575</v>
      </c>
      <c r="C23" t="s">
        <v>218</v>
      </c>
      <c r="D23" t="s">
        <v>233</v>
      </c>
      <c r="E23">
        <v>5</v>
      </c>
      <c r="F23">
        <v>278475</v>
      </c>
      <c r="G23">
        <v>60333.16</v>
      </c>
      <c r="H23" t="str">
        <f>TEXT(Orders[[#This Row],[Order_Date]],"mmmm")</f>
        <v>October</v>
      </c>
      <c r="I23">
        <f>YEAR(Orders[[#This Row],[Order_Date]])</f>
        <v>2024</v>
      </c>
      <c r="J23" t="str">
        <f>"Q"&amp;ROUNDUP(MONTH(Orders[[#This Row],[Order_Date]])/3,0)</f>
        <v>Q4</v>
      </c>
      <c r="K23" s="2">
        <f>(Orders[[#This Row],[Profit]]/Orders[[#This Row],[Sales]])*100</f>
        <v>21.665557051799983</v>
      </c>
    </row>
    <row r="24" spans="1:11" x14ac:dyDescent="0.3">
      <c r="A24" t="s">
        <v>262</v>
      </c>
      <c r="B24" s="1">
        <v>45567</v>
      </c>
      <c r="C24" t="s">
        <v>210</v>
      </c>
      <c r="D24" t="s">
        <v>263</v>
      </c>
      <c r="E24">
        <v>2</v>
      </c>
      <c r="F24">
        <v>14310</v>
      </c>
      <c r="G24">
        <v>1872</v>
      </c>
      <c r="H24" t="str">
        <f>TEXT(Orders[[#This Row],[Order_Date]],"mmmm")</f>
        <v>October</v>
      </c>
      <c r="I24">
        <f>YEAR(Orders[[#This Row],[Order_Date]])</f>
        <v>2024</v>
      </c>
      <c r="J24" t="str">
        <f>"Q"&amp;ROUNDUP(MONTH(Orders[[#This Row],[Order_Date]])/3,0)</f>
        <v>Q4</v>
      </c>
      <c r="K24" s="2">
        <f>(Orders[[#This Row],[Profit]]/Orders[[#This Row],[Sales]])*100</f>
        <v>13.081761006289309</v>
      </c>
    </row>
    <row r="25" spans="1:11" x14ac:dyDescent="0.3">
      <c r="A25" t="s">
        <v>264</v>
      </c>
      <c r="B25" s="1">
        <v>45324</v>
      </c>
      <c r="C25" t="s">
        <v>60</v>
      </c>
      <c r="D25" t="s">
        <v>247</v>
      </c>
      <c r="E25">
        <v>2</v>
      </c>
      <c r="F25">
        <v>22312</v>
      </c>
      <c r="G25">
        <v>2743.03</v>
      </c>
      <c r="H25" t="str">
        <f>TEXT(Orders[[#This Row],[Order_Date]],"mmmm")</f>
        <v>February</v>
      </c>
      <c r="I25">
        <f>YEAR(Orders[[#This Row],[Order_Date]])</f>
        <v>2024</v>
      </c>
      <c r="J25" t="str">
        <f>"Q"&amp;ROUNDUP(MONTH(Orders[[#This Row],[Order_Date]])/3,0)</f>
        <v>Q1</v>
      </c>
      <c r="K25" s="2">
        <f>(Orders[[#This Row],[Profit]]/Orders[[#This Row],[Sales]])*100</f>
        <v>12.293967371817857</v>
      </c>
    </row>
    <row r="26" spans="1:11" x14ac:dyDescent="0.3">
      <c r="A26" t="s">
        <v>265</v>
      </c>
      <c r="B26" s="1">
        <v>45569</v>
      </c>
      <c r="C26" t="s">
        <v>194</v>
      </c>
      <c r="D26" t="s">
        <v>266</v>
      </c>
      <c r="E26">
        <v>4</v>
      </c>
      <c r="F26">
        <v>44940</v>
      </c>
      <c r="G26">
        <v>7791.51</v>
      </c>
      <c r="H26" t="str">
        <f>TEXT(Orders[[#This Row],[Order_Date]],"mmmm")</f>
        <v>October</v>
      </c>
      <c r="I26">
        <f>YEAR(Orders[[#This Row],[Order_Date]])</f>
        <v>2024</v>
      </c>
      <c r="J26" t="str">
        <f>"Q"&amp;ROUNDUP(MONTH(Orders[[#This Row],[Order_Date]])/3,0)</f>
        <v>Q4</v>
      </c>
      <c r="K26" s="2">
        <f>(Orders[[#This Row],[Profit]]/Orders[[#This Row],[Sales]])*100</f>
        <v>17.337583444592791</v>
      </c>
    </row>
    <row r="27" spans="1:11" x14ac:dyDescent="0.3">
      <c r="A27" t="s">
        <v>267</v>
      </c>
      <c r="B27" s="1">
        <v>45465</v>
      </c>
      <c r="C27" t="s">
        <v>132</v>
      </c>
      <c r="D27" t="s">
        <v>241</v>
      </c>
      <c r="E27">
        <v>4</v>
      </c>
      <c r="F27">
        <v>33448</v>
      </c>
      <c r="G27">
        <v>2737.63</v>
      </c>
      <c r="H27" t="str">
        <f>TEXT(Orders[[#This Row],[Order_Date]],"mmmm")</f>
        <v>June</v>
      </c>
      <c r="I27">
        <f>YEAR(Orders[[#This Row],[Order_Date]])</f>
        <v>2024</v>
      </c>
      <c r="J27" t="str">
        <f>"Q"&amp;ROUNDUP(MONTH(Orders[[#This Row],[Order_Date]])/3,0)</f>
        <v>Q2</v>
      </c>
      <c r="K27" s="2">
        <f>(Orders[[#This Row],[Profit]]/Orders[[#This Row],[Sales]])*100</f>
        <v>8.1847345132743357</v>
      </c>
    </row>
    <row r="28" spans="1:11" x14ac:dyDescent="0.3">
      <c r="A28" t="s">
        <v>268</v>
      </c>
      <c r="B28" s="1">
        <v>45622</v>
      </c>
      <c r="C28" t="s">
        <v>62</v>
      </c>
      <c r="D28" t="s">
        <v>231</v>
      </c>
      <c r="E28">
        <v>4</v>
      </c>
      <c r="F28">
        <v>219748</v>
      </c>
      <c r="G28">
        <v>18491.669999999998</v>
      </c>
      <c r="H28" t="str">
        <f>TEXT(Orders[[#This Row],[Order_Date]],"mmmm")</f>
        <v>November</v>
      </c>
      <c r="I28">
        <f>YEAR(Orders[[#This Row],[Order_Date]])</f>
        <v>2024</v>
      </c>
      <c r="J28" t="str">
        <f>"Q"&amp;ROUNDUP(MONTH(Orders[[#This Row],[Order_Date]])/3,0)</f>
        <v>Q4</v>
      </c>
      <c r="K28" s="2">
        <f>(Orders[[#This Row],[Profit]]/Orders[[#This Row],[Sales]])*100</f>
        <v>8.4149434807142729</v>
      </c>
    </row>
    <row r="29" spans="1:11" x14ac:dyDescent="0.3">
      <c r="A29" t="s">
        <v>269</v>
      </c>
      <c r="B29" s="1">
        <v>45473</v>
      </c>
      <c r="C29" t="s">
        <v>126</v>
      </c>
      <c r="D29" t="s">
        <v>245</v>
      </c>
      <c r="E29">
        <v>1</v>
      </c>
      <c r="F29">
        <v>24236</v>
      </c>
      <c r="G29">
        <v>2195.65</v>
      </c>
      <c r="H29" t="str">
        <f>TEXT(Orders[[#This Row],[Order_Date]],"mmmm")</f>
        <v>June</v>
      </c>
      <c r="I29">
        <f>YEAR(Orders[[#This Row],[Order_Date]])</f>
        <v>2024</v>
      </c>
      <c r="J29" t="str">
        <f>"Q"&amp;ROUNDUP(MONTH(Orders[[#This Row],[Order_Date]])/3,0)</f>
        <v>Q2</v>
      </c>
      <c r="K29" s="2">
        <f>(Orders[[#This Row],[Profit]]/Orders[[#This Row],[Sales]])*100</f>
        <v>9.0594570061066193</v>
      </c>
    </row>
    <row r="30" spans="1:11" x14ac:dyDescent="0.3">
      <c r="A30" t="s">
        <v>270</v>
      </c>
      <c r="B30" s="1">
        <v>45424</v>
      </c>
      <c r="C30" t="s">
        <v>168</v>
      </c>
      <c r="D30" t="s">
        <v>260</v>
      </c>
      <c r="E30">
        <v>5</v>
      </c>
      <c r="F30">
        <v>279750</v>
      </c>
      <c r="G30">
        <v>28330.82</v>
      </c>
      <c r="H30" t="str">
        <f>TEXT(Orders[[#This Row],[Order_Date]],"mmmm")</f>
        <v>May</v>
      </c>
      <c r="I30">
        <f>YEAR(Orders[[#This Row],[Order_Date]])</f>
        <v>2024</v>
      </c>
      <c r="J30" t="str">
        <f>"Q"&amp;ROUNDUP(MONTH(Orders[[#This Row],[Order_Date]])/3,0)</f>
        <v>Q2</v>
      </c>
      <c r="K30" s="2">
        <f>(Orders[[#This Row],[Profit]]/Orders[[#This Row],[Sales]])*100</f>
        <v>10.127192135835568</v>
      </c>
    </row>
    <row r="31" spans="1:11" x14ac:dyDescent="0.3">
      <c r="A31" t="s">
        <v>271</v>
      </c>
      <c r="B31" s="1">
        <v>45605</v>
      </c>
      <c r="C31" t="s">
        <v>90</v>
      </c>
      <c r="D31" t="s">
        <v>229</v>
      </c>
      <c r="E31">
        <v>5</v>
      </c>
      <c r="F31">
        <v>44365</v>
      </c>
      <c r="G31">
        <v>6574.18</v>
      </c>
      <c r="H31" t="str">
        <f>TEXT(Orders[[#This Row],[Order_Date]],"mmmm")</f>
        <v>November</v>
      </c>
      <c r="I31">
        <f>YEAR(Orders[[#This Row],[Order_Date]])</f>
        <v>2024</v>
      </c>
      <c r="J31" t="str">
        <f>"Q"&amp;ROUNDUP(MONTH(Orders[[#This Row],[Order_Date]])/3,0)</f>
        <v>Q4</v>
      </c>
      <c r="K31" s="2">
        <f>(Orders[[#This Row],[Profit]]/Orders[[#This Row],[Sales]])*100</f>
        <v>14.818392877268117</v>
      </c>
    </row>
    <row r="32" spans="1:11" x14ac:dyDescent="0.3">
      <c r="A32" t="s">
        <v>272</v>
      </c>
      <c r="B32" s="1">
        <v>45562</v>
      </c>
      <c r="C32" t="s">
        <v>41</v>
      </c>
      <c r="D32" t="s">
        <v>227</v>
      </c>
      <c r="E32">
        <v>4</v>
      </c>
      <c r="F32">
        <v>37576</v>
      </c>
      <c r="G32">
        <v>3053.84</v>
      </c>
      <c r="H32" t="str">
        <f>TEXT(Orders[[#This Row],[Order_Date]],"mmmm")</f>
        <v>September</v>
      </c>
      <c r="I32">
        <f>YEAR(Orders[[#This Row],[Order_Date]])</f>
        <v>2024</v>
      </c>
      <c r="J32" t="str">
        <f>"Q"&amp;ROUNDUP(MONTH(Orders[[#This Row],[Order_Date]])/3,0)</f>
        <v>Q3</v>
      </c>
      <c r="K32" s="2">
        <f>(Orders[[#This Row],[Profit]]/Orders[[#This Row],[Sales]])*100</f>
        <v>8.1271024057909322</v>
      </c>
    </row>
    <row r="33" spans="1:11" x14ac:dyDescent="0.3">
      <c r="A33" t="s">
        <v>273</v>
      </c>
      <c r="B33" s="1">
        <v>45619</v>
      </c>
      <c r="C33" t="s">
        <v>100</v>
      </c>
      <c r="D33" t="s">
        <v>255</v>
      </c>
      <c r="E33">
        <v>4</v>
      </c>
      <c r="F33">
        <v>102432</v>
      </c>
      <c r="G33">
        <v>24390.94</v>
      </c>
      <c r="H33" t="str">
        <f>TEXT(Orders[[#This Row],[Order_Date]],"mmmm")</f>
        <v>November</v>
      </c>
      <c r="I33">
        <f>YEAR(Orders[[#This Row],[Order_Date]])</f>
        <v>2024</v>
      </c>
      <c r="J33" t="str">
        <f>"Q"&amp;ROUNDUP(MONTH(Orders[[#This Row],[Order_Date]])/3,0)</f>
        <v>Q4</v>
      </c>
      <c r="K33" s="2">
        <f>(Orders[[#This Row],[Profit]]/Orders[[#This Row],[Sales]])*100</f>
        <v>23.8118361449547</v>
      </c>
    </row>
    <row r="34" spans="1:11" x14ac:dyDescent="0.3">
      <c r="A34" t="s">
        <v>274</v>
      </c>
      <c r="B34" s="1">
        <v>45643</v>
      </c>
      <c r="C34" t="s">
        <v>206</v>
      </c>
      <c r="D34" t="s">
        <v>227</v>
      </c>
      <c r="E34">
        <v>2</v>
      </c>
      <c r="F34">
        <v>18788</v>
      </c>
      <c r="G34">
        <v>2502.6999999999998</v>
      </c>
      <c r="H34" t="str">
        <f>TEXT(Orders[[#This Row],[Order_Date]],"mmmm")</f>
        <v>December</v>
      </c>
      <c r="I34">
        <f>YEAR(Orders[[#This Row],[Order_Date]])</f>
        <v>2024</v>
      </c>
      <c r="J34" t="str">
        <f>"Q"&amp;ROUNDUP(MONTH(Orders[[#This Row],[Order_Date]])/3,0)</f>
        <v>Q4</v>
      </c>
      <c r="K34" s="2">
        <f>(Orders[[#This Row],[Profit]]/Orders[[#This Row],[Sales]])*100</f>
        <v>13.32073664040877</v>
      </c>
    </row>
    <row r="35" spans="1:11" x14ac:dyDescent="0.3">
      <c r="A35" t="s">
        <v>275</v>
      </c>
      <c r="B35" s="1">
        <v>45604</v>
      </c>
      <c r="C35" t="s">
        <v>142</v>
      </c>
      <c r="D35" t="s">
        <v>227</v>
      </c>
      <c r="E35">
        <v>4</v>
      </c>
      <c r="F35">
        <v>37576</v>
      </c>
      <c r="G35">
        <v>5158.5</v>
      </c>
      <c r="H35" t="str">
        <f>TEXT(Orders[[#This Row],[Order_Date]],"mmmm")</f>
        <v>November</v>
      </c>
      <c r="I35">
        <f>YEAR(Orders[[#This Row],[Order_Date]])</f>
        <v>2024</v>
      </c>
      <c r="J35" t="str">
        <f>"Q"&amp;ROUNDUP(MONTH(Orders[[#This Row],[Order_Date]])/3,0)</f>
        <v>Q4</v>
      </c>
      <c r="K35" s="2">
        <f>(Orders[[#This Row],[Profit]]/Orders[[#This Row],[Sales]])*100</f>
        <v>13.728177560144772</v>
      </c>
    </row>
    <row r="36" spans="1:11" x14ac:dyDescent="0.3">
      <c r="A36" t="s">
        <v>276</v>
      </c>
      <c r="B36" s="1">
        <v>45328</v>
      </c>
      <c r="C36" t="s">
        <v>206</v>
      </c>
      <c r="D36" t="s">
        <v>231</v>
      </c>
      <c r="E36">
        <v>2</v>
      </c>
      <c r="F36">
        <v>109874</v>
      </c>
      <c r="G36">
        <v>9690.18</v>
      </c>
      <c r="H36" t="str">
        <f>TEXT(Orders[[#This Row],[Order_Date]],"mmmm")</f>
        <v>February</v>
      </c>
      <c r="I36">
        <f>YEAR(Orders[[#This Row],[Order_Date]])</f>
        <v>2024</v>
      </c>
      <c r="J36" t="str">
        <f>"Q"&amp;ROUNDUP(MONTH(Orders[[#This Row],[Order_Date]])/3,0)</f>
        <v>Q1</v>
      </c>
      <c r="K36" s="2">
        <f>(Orders[[#This Row],[Profit]]/Orders[[#This Row],[Sales]])*100</f>
        <v>8.8193567176948129</v>
      </c>
    </row>
    <row r="37" spans="1:11" x14ac:dyDescent="0.3">
      <c r="A37" t="s">
        <v>277</v>
      </c>
      <c r="B37" s="1">
        <v>45396</v>
      </c>
      <c r="C37" t="s">
        <v>214</v>
      </c>
      <c r="D37" t="s">
        <v>255</v>
      </c>
      <c r="E37">
        <v>3</v>
      </c>
      <c r="F37">
        <v>76824</v>
      </c>
      <c r="G37">
        <v>8228.58</v>
      </c>
      <c r="H37" t="str">
        <f>TEXT(Orders[[#This Row],[Order_Date]],"mmmm")</f>
        <v>April</v>
      </c>
      <c r="I37">
        <f>YEAR(Orders[[#This Row],[Order_Date]])</f>
        <v>2024</v>
      </c>
      <c r="J37" t="str">
        <f>"Q"&amp;ROUNDUP(MONTH(Orders[[#This Row],[Order_Date]])/3,0)</f>
        <v>Q2</v>
      </c>
      <c r="K37" s="2">
        <f>(Orders[[#This Row],[Profit]]/Orders[[#This Row],[Sales]])*100</f>
        <v>10.710949703217745</v>
      </c>
    </row>
    <row r="38" spans="1:11" x14ac:dyDescent="0.3">
      <c r="A38" t="s">
        <v>278</v>
      </c>
      <c r="B38" s="1">
        <v>45482</v>
      </c>
      <c r="C38" t="s">
        <v>98</v>
      </c>
      <c r="D38" t="s">
        <v>279</v>
      </c>
      <c r="E38">
        <v>3</v>
      </c>
      <c r="F38">
        <v>18660</v>
      </c>
      <c r="G38">
        <v>4185.97</v>
      </c>
      <c r="H38" t="str">
        <f>TEXT(Orders[[#This Row],[Order_Date]],"mmmm")</f>
        <v>July</v>
      </c>
      <c r="I38">
        <f>YEAR(Orders[[#This Row],[Order_Date]])</f>
        <v>2024</v>
      </c>
      <c r="J38" t="str">
        <f>"Q"&amp;ROUNDUP(MONTH(Orders[[#This Row],[Order_Date]])/3,0)</f>
        <v>Q3</v>
      </c>
      <c r="K38" s="2">
        <f>(Orders[[#This Row],[Profit]]/Orders[[#This Row],[Sales]])*100</f>
        <v>22.432851018220795</v>
      </c>
    </row>
    <row r="39" spans="1:11" x14ac:dyDescent="0.3">
      <c r="A39" t="s">
        <v>280</v>
      </c>
      <c r="B39" s="1">
        <v>45355</v>
      </c>
      <c r="C39" t="s">
        <v>62</v>
      </c>
      <c r="D39" t="s">
        <v>266</v>
      </c>
      <c r="E39">
        <v>5</v>
      </c>
      <c r="F39">
        <v>56175</v>
      </c>
      <c r="G39">
        <v>5305.47</v>
      </c>
      <c r="H39" t="str">
        <f>TEXT(Orders[[#This Row],[Order_Date]],"mmmm")</f>
        <v>March</v>
      </c>
      <c r="I39">
        <f>YEAR(Orders[[#This Row],[Order_Date]])</f>
        <v>2024</v>
      </c>
      <c r="J39" t="str">
        <f>"Q"&amp;ROUNDUP(MONTH(Orders[[#This Row],[Order_Date]])/3,0)</f>
        <v>Q1</v>
      </c>
      <c r="K39" s="2">
        <f>(Orders[[#This Row],[Profit]]/Orders[[#This Row],[Sales]])*100</f>
        <v>9.4445393858477971</v>
      </c>
    </row>
    <row r="40" spans="1:11" x14ac:dyDescent="0.3">
      <c r="A40" t="s">
        <v>281</v>
      </c>
      <c r="B40" s="1">
        <v>45371</v>
      </c>
      <c r="C40" t="s">
        <v>174</v>
      </c>
      <c r="D40" t="s">
        <v>255</v>
      </c>
      <c r="E40">
        <v>5</v>
      </c>
      <c r="F40">
        <v>128040</v>
      </c>
      <c r="G40">
        <v>18453.59</v>
      </c>
      <c r="H40" t="str">
        <f>TEXT(Orders[[#This Row],[Order_Date]],"mmmm")</f>
        <v>March</v>
      </c>
      <c r="I40">
        <f>YEAR(Orders[[#This Row],[Order_Date]])</f>
        <v>2024</v>
      </c>
      <c r="J40" t="str">
        <f>"Q"&amp;ROUNDUP(MONTH(Orders[[#This Row],[Order_Date]])/3,0)</f>
        <v>Q1</v>
      </c>
      <c r="K40" s="2">
        <f>(Orders[[#This Row],[Profit]]/Orders[[#This Row],[Sales]])*100</f>
        <v>14.412363323961261</v>
      </c>
    </row>
    <row r="41" spans="1:11" x14ac:dyDescent="0.3">
      <c r="A41" t="s">
        <v>282</v>
      </c>
      <c r="B41" s="1">
        <v>45318</v>
      </c>
      <c r="C41" t="s">
        <v>84</v>
      </c>
      <c r="D41" t="s">
        <v>283</v>
      </c>
      <c r="E41">
        <v>2</v>
      </c>
      <c r="F41">
        <v>108374</v>
      </c>
      <c r="G41">
        <v>26019.279999999999</v>
      </c>
      <c r="H41" t="str">
        <f>TEXT(Orders[[#This Row],[Order_Date]],"mmmm")</f>
        <v>January</v>
      </c>
      <c r="I41">
        <f>YEAR(Orders[[#This Row],[Order_Date]])</f>
        <v>2024</v>
      </c>
      <c r="J41" t="str">
        <f>"Q"&amp;ROUNDUP(MONTH(Orders[[#This Row],[Order_Date]])/3,0)</f>
        <v>Q1</v>
      </c>
      <c r="K41" s="2">
        <f>(Orders[[#This Row],[Profit]]/Orders[[#This Row],[Sales]])*100</f>
        <v>24.008784394781035</v>
      </c>
    </row>
    <row r="42" spans="1:11" x14ac:dyDescent="0.3">
      <c r="A42" t="s">
        <v>284</v>
      </c>
      <c r="B42" s="1">
        <v>45376</v>
      </c>
      <c r="C42" t="s">
        <v>146</v>
      </c>
      <c r="D42" t="s">
        <v>229</v>
      </c>
      <c r="E42">
        <v>3</v>
      </c>
      <c r="F42">
        <v>26619</v>
      </c>
      <c r="G42">
        <v>3867.1</v>
      </c>
      <c r="H42" t="str">
        <f>TEXT(Orders[[#This Row],[Order_Date]],"mmmm")</f>
        <v>March</v>
      </c>
      <c r="I42">
        <f>YEAR(Orders[[#This Row],[Order_Date]])</f>
        <v>2024</v>
      </c>
      <c r="J42" t="str">
        <f>"Q"&amp;ROUNDUP(MONTH(Orders[[#This Row],[Order_Date]])/3,0)</f>
        <v>Q1</v>
      </c>
      <c r="K42" s="2">
        <f>(Orders[[#This Row],[Profit]]/Orders[[#This Row],[Sales]])*100</f>
        <v>14.527593072617304</v>
      </c>
    </row>
    <row r="43" spans="1:11" x14ac:dyDescent="0.3">
      <c r="A43" t="s">
        <v>285</v>
      </c>
      <c r="B43" s="1">
        <v>45422</v>
      </c>
      <c r="C43" t="s">
        <v>158</v>
      </c>
      <c r="D43" t="s">
        <v>247</v>
      </c>
      <c r="E43">
        <v>5</v>
      </c>
      <c r="F43">
        <v>55780</v>
      </c>
      <c r="G43">
        <v>13766.93</v>
      </c>
      <c r="H43" t="str">
        <f>TEXT(Orders[[#This Row],[Order_Date]],"mmmm")</f>
        <v>May</v>
      </c>
      <c r="I43">
        <f>YEAR(Orders[[#This Row],[Order_Date]])</f>
        <v>2024</v>
      </c>
      <c r="J43" t="str">
        <f>"Q"&amp;ROUNDUP(MONTH(Orders[[#This Row],[Order_Date]])/3,0)</f>
        <v>Q2</v>
      </c>
      <c r="K43" s="2">
        <f>(Orders[[#This Row],[Profit]]/Orders[[#This Row],[Sales]])*100</f>
        <v>24.680763714593045</v>
      </c>
    </row>
    <row r="44" spans="1:11" x14ac:dyDescent="0.3">
      <c r="A44" t="s">
        <v>286</v>
      </c>
      <c r="B44" s="1">
        <v>45334</v>
      </c>
      <c r="C44" t="s">
        <v>180</v>
      </c>
      <c r="D44" t="s">
        <v>239</v>
      </c>
      <c r="E44">
        <v>3</v>
      </c>
      <c r="F44">
        <v>75477</v>
      </c>
      <c r="G44">
        <v>15493.49</v>
      </c>
      <c r="H44" t="str">
        <f>TEXT(Orders[[#This Row],[Order_Date]],"mmmm")</f>
        <v>February</v>
      </c>
      <c r="I44">
        <f>YEAR(Orders[[#This Row],[Order_Date]])</f>
        <v>2024</v>
      </c>
      <c r="J44" t="str">
        <f>"Q"&amp;ROUNDUP(MONTH(Orders[[#This Row],[Order_Date]])/3,0)</f>
        <v>Q1</v>
      </c>
      <c r="K44" s="2">
        <f>(Orders[[#This Row],[Profit]]/Orders[[#This Row],[Sales]])*100</f>
        <v>20.5274321978881</v>
      </c>
    </row>
    <row r="45" spans="1:11" x14ac:dyDescent="0.3">
      <c r="A45" t="s">
        <v>287</v>
      </c>
      <c r="B45" s="1">
        <v>45415</v>
      </c>
      <c r="C45" t="s">
        <v>54</v>
      </c>
      <c r="D45" t="s">
        <v>235</v>
      </c>
      <c r="E45">
        <v>1</v>
      </c>
      <c r="F45">
        <v>11342</v>
      </c>
      <c r="G45">
        <v>1765.5</v>
      </c>
      <c r="H45" t="str">
        <f>TEXT(Orders[[#This Row],[Order_Date]],"mmmm")</f>
        <v>May</v>
      </c>
      <c r="I45">
        <f>YEAR(Orders[[#This Row],[Order_Date]])</f>
        <v>2024</v>
      </c>
      <c r="J45" t="str">
        <f>"Q"&amp;ROUNDUP(MONTH(Orders[[#This Row],[Order_Date]])/3,0)</f>
        <v>Q2</v>
      </c>
      <c r="K45" s="2">
        <f>(Orders[[#This Row],[Profit]]/Orders[[#This Row],[Sales]])*100</f>
        <v>15.566037735849056</v>
      </c>
    </row>
    <row r="46" spans="1:11" x14ac:dyDescent="0.3">
      <c r="A46" t="s">
        <v>288</v>
      </c>
      <c r="B46" s="1">
        <v>45458</v>
      </c>
      <c r="C46" t="s">
        <v>116</v>
      </c>
      <c r="D46" t="s">
        <v>283</v>
      </c>
      <c r="E46">
        <v>4</v>
      </c>
      <c r="F46">
        <v>216748</v>
      </c>
      <c r="G46">
        <v>23410.57</v>
      </c>
      <c r="H46" t="str">
        <f>TEXT(Orders[[#This Row],[Order_Date]],"mmmm")</f>
        <v>June</v>
      </c>
      <c r="I46">
        <f>YEAR(Orders[[#This Row],[Order_Date]])</f>
        <v>2024</v>
      </c>
      <c r="J46" t="str">
        <f>"Q"&amp;ROUNDUP(MONTH(Orders[[#This Row],[Order_Date]])/3,0)</f>
        <v>Q2</v>
      </c>
      <c r="K46" s="2">
        <f>(Orders[[#This Row],[Profit]]/Orders[[#This Row],[Sales]])*100</f>
        <v>10.800823998375995</v>
      </c>
    </row>
    <row r="47" spans="1:11" x14ac:dyDescent="0.3">
      <c r="A47" t="s">
        <v>289</v>
      </c>
      <c r="B47" s="1">
        <v>45400</v>
      </c>
      <c r="C47" t="s">
        <v>132</v>
      </c>
      <c r="D47" t="s">
        <v>260</v>
      </c>
      <c r="E47">
        <v>5</v>
      </c>
      <c r="F47">
        <v>279750</v>
      </c>
      <c r="G47">
        <v>65604.289999999994</v>
      </c>
      <c r="H47" t="str">
        <f>TEXT(Orders[[#This Row],[Order_Date]],"mmmm")</f>
        <v>April</v>
      </c>
      <c r="I47">
        <f>YEAR(Orders[[#This Row],[Order_Date]])</f>
        <v>2024</v>
      </c>
      <c r="J47" t="str">
        <f>"Q"&amp;ROUNDUP(MONTH(Orders[[#This Row],[Order_Date]])/3,0)</f>
        <v>Q2</v>
      </c>
      <c r="K47" s="2">
        <f>(Orders[[#This Row],[Profit]]/Orders[[#This Row],[Sales]])*100</f>
        <v>23.451042001787307</v>
      </c>
    </row>
    <row r="48" spans="1:11" x14ac:dyDescent="0.3">
      <c r="A48" t="s">
        <v>290</v>
      </c>
      <c r="B48" s="1">
        <v>45352</v>
      </c>
      <c r="C48" t="s">
        <v>49</v>
      </c>
      <c r="D48" t="s">
        <v>283</v>
      </c>
      <c r="E48">
        <v>5</v>
      </c>
      <c r="F48">
        <v>270935</v>
      </c>
      <c r="G48">
        <v>46272.79</v>
      </c>
      <c r="H48" t="str">
        <f>TEXT(Orders[[#This Row],[Order_Date]],"mmmm")</f>
        <v>March</v>
      </c>
      <c r="I48">
        <f>YEAR(Orders[[#This Row],[Order_Date]])</f>
        <v>2024</v>
      </c>
      <c r="J48" t="str">
        <f>"Q"&amp;ROUNDUP(MONTH(Orders[[#This Row],[Order_Date]])/3,0)</f>
        <v>Q1</v>
      </c>
      <c r="K48" s="2">
        <f>(Orders[[#This Row],[Profit]]/Orders[[#This Row],[Sales]])*100</f>
        <v>17.078926679830957</v>
      </c>
    </row>
    <row r="49" spans="1:11" x14ac:dyDescent="0.3">
      <c r="A49" t="s">
        <v>291</v>
      </c>
      <c r="B49" s="1">
        <v>45578</v>
      </c>
      <c r="C49" t="s">
        <v>188</v>
      </c>
      <c r="D49" t="s">
        <v>279</v>
      </c>
      <c r="E49">
        <v>3</v>
      </c>
      <c r="F49">
        <v>18660</v>
      </c>
      <c r="G49">
        <v>2280.19</v>
      </c>
      <c r="H49" t="str">
        <f>TEXT(Orders[[#This Row],[Order_Date]],"mmmm")</f>
        <v>October</v>
      </c>
      <c r="I49">
        <f>YEAR(Orders[[#This Row],[Order_Date]])</f>
        <v>2024</v>
      </c>
      <c r="J49" t="str">
        <f>"Q"&amp;ROUNDUP(MONTH(Orders[[#This Row],[Order_Date]])/3,0)</f>
        <v>Q4</v>
      </c>
      <c r="K49" s="2">
        <f>(Orders[[#This Row],[Profit]]/Orders[[#This Row],[Sales]])*100</f>
        <v>12.219667738478028</v>
      </c>
    </row>
    <row r="50" spans="1:11" x14ac:dyDescent="0.3">
      <c r="A50" t="s">
        <v>292</v>
      </c>
      <c r="B50" s="1">
        <v>45302</v>
      </c>
      <c r="C50" t="s">
        <v>7</v>
      </c>
      <c r="D50" t="s">
        <v>263</v>
      </c>
      <c r="E50">
        <v>5</v>
      </c>
      <c r="F50">
        <v>35775</v>
      </c>
      <c r="G50">
        <v>5530.51</v>
      </c>
      <c r="H50" t="str">
        <f>TEXT(Orders[[#This Row],[Order_Date]],"mmmm")</f>
        <v>January</v>
      </c>
      <c r="I50">
        <f>YEAR(Orders[[#This Row],[Order_Date]])</f>
        <v>2024</v>
      </c>
      <c r="J50" t="str">
        <f>"Q"&amp;ROUNDUP(MONTH(Orders[[#This Row],[Order_Date]])/3,0)</f>
        <v>Q1</v>
      </c>
      <c r="K50" s="2">
        <f>(Orders[[#This Row],[Profit]]/Orders[[#This Row],[Sales]])*100</f>
        <v>15.459147449336131</v>
      </c>
    </row>
    <row r="51" spans="1:11" x14ac:dyDescent="0.3">
      <c r="A51" t="s">
        <v>293</v>
      </c>
      <c r="B51" s="1">
        <v>45397</v>
      </c>
      <c r="C51" t="s">
        <v>22</v>
      </c>
      <c r="D51" t="s">
        <v>235</v>
      </c>
      <c r="E51">
        <v>2</v>
      </c>
      <c r="F51">
        <v>22684</v>
      </c>
      <c r="G51">
        <v>5036</v>
      </c>
      <c r="H51" t="str">
        <f>TEXT(Orders[[#This Row],[Order_Date]],"mmmm")</f>
        <v>April</v>
      </c>
      <c r="I51">
        <f>YEAR(Orders[[#This Row],[Order_Date]])</f>
        <v>2024</v>
      </c>
      <c r="J51" t="str">
        <f>"Q"&amp;ROUNDUP(MONTH(Orders[[#This Row],[Order_Date]])/3,0)</f>
        <v>Q2</v>
      </c>
      <c r="K51" s="2">
        <f>(Orders[[#This Row],[Profit]]/Orders[[#This Row],[Sales]])*100</f>
        <v>22.20067007582437</v>
      </c>
    </row>
    <row r="52" spans="1:11" x14ac:dyDescent="0.3">
      <c r="A52" t="s">
        <v>294</v>
      </c>
      <c r="B52" s="1">
        <v>45431</v>
      </c>
      <c r="C52" t="s">
        <v>64</v>
      </c>
      <c r="D52" t="s">
        <v>279</v>
      </c>
      <c r="E52">
        <v>2</v>
      </c>
      <c r="F52">
        <v>12440</v>
      </c>
      <c r="G52">
        <v>2142.14</v>
      </c>
      <c r="H52" t="str">
        <f>TEXT(Orders[[#This Row],[Order_Date]],"mmmm")</f>
        <v>May</v>
      </c>
      <c r="I52">
        <f>YEAR(Orders[[#This Row],[Order_Date]])</f>
        <v>2024</v>
      </c>
      <c r="J52" t="str">
        <f>"Q"&amp;ROUNDUP(MONTH(Orders[[#This Row],[Order_Date]])/3,0)</f>
        <v>Q2</v>
      </c>
      <c r="K52" s="2">
        <f>(Orders[[#This Row],[Profit]]/Orders[[#This Row],[Sales]])*100</f>
        <v>17.219774919614146</v>
      </c>
    </row>
    <row r="53" spans="1:11" x14ac:dyDescent="0.3">
      <c r="A53" t="s">
        <v>295</v>
      </c>
      <c r="B53" s="1">
        <v>45520</v>
      </c>
      <c r="C53" t="s">
        <v>98</v>
      </c>
      <c r="D53" t="s">
        <v>245</v>
      </c>
      <c r="E53">
        <v>3</v>
      </c>
      <c r="F53">
        <v>72708</v>
      </c>
      <c r="G53">
        <v>16104.85</v>
      </c>
      <c r="H53" t="str">
        <f>TEXT(Orders[[#This Row],[Order_Date]],"mmmm")</f>
        <v>August</v>
      </c>
      <c r="I53">
        <f>YEAR(Orders[[#This Row],[Order_Date]])</f>
        <v>2024</v>
      </c>
      <c r="J53" t="str">
        <f>"Q"&amp;ROUNDUP(MONTH(Orders[[#This Row],[Order_Date]])/3,0)</f>
        <v>Q3</v>
      </c>
      <c r="K53" s="2">
        <f>(Orders[[#This Row],[Profit]]/Orders[[#This Row],[Sales]])*100</f>
        <v>22.150038510205206</v>
      </c>
    </row>
    <row r="54" spans="1:11" x14ac:dyDescent="0.3">
      <c r="A54" t="s">
        <v>296</v>
      </c>
      <c r="B54" s="1">
        <v>45354</v>
      </c>
      <c r="C54" t="s">
        <v>62</v>
      </c>
      <c r="D54" t="s">
        <v>241</v>
      </c>
      <c r="E54">
        <v>3</v>
      </c>
      <c r="F54">
        <v>25086</v>
      </c>
      <c r="G54">
        <v>4100</v>
      </c>
      <c r="H54" t="str">
        <f>TEXT(Orders[[#This Row],[Order_Date]],"mmmm")</f>
        <v>March</v>
      </c>
      <c r="I54">
        <f>YEAR(Orders[[#This Row],[Order_Date]])</f>
        <v>2024</v>
      </c>
      <c r="J54" t="str">
        <f>"Q"&amp;ROUNDUP(MONTH(Orders[[#This Row],[Order_Date]])/3,0)</f>
        <v>Q1</v>
      </c>
      <c r="K54" s="2">
        <f>(Orders[[#This Row],[Profit]]/Orders[[#This Row],[Sales]])*100</f>
        <v>16.343777405724307</v>
      </c>
    </row>
    <row r="55" spans="1:11" x14ac:dyDescent="0.3">
      <c r="A55" t="s">
        <v>297</v>
      </c>
      <c r="B55" s="1">
        <v>45396</v>
      </c>
      <c r="C55" t="s">
        <v>216</v>
      </c>
      <c r="D55" t="s">
        <v>263</v>
      </c>
      <c r="E55">
        <v>5</v>
      </c>
      <c r="F55">
        <v>35775</v>
      </c>
      <c r="G55">
        <v>8207.43</v>
      </c>
      <c r="H55" t="str">
        <f>TEXT(Orders[[#This Row],[Order_Date]],"mmmm")</f>
        <v>April</v>
      </c>
      <c r="I55">
        <f>YEAR(Orders[[#This Row],[Order_Date]])</f>
        <v>2024</v>
      </c>
      <c r="J55" t="str">
        <f>"Q"&amp;ROUNDUP(MONTH(Orders[[#This Row],[Order_Date]])/3,0)</f>
        <v>Q2</v>
      </c>
      <c r="K55" s="2">
        <f>(Orders[[#This Row],[Profit]]/Orders[[#This Row],[Sales]])*100</f>
        <v>22.941802935010482</v>
      </c>
    </row>
    <row r="56" spans="1:11" x14ac:dyDescent="0.3">
      <c r="A56" t="s">
        <v>298</v>
      </c>
      <c r="B56" s="1">
        <v>45298</v>
      </c>
      <c r="C56" t="s">
        <v>92</v>
      </c>
      <c r="D56" t="s">
        <v>239</v>
      </c>
      <c r="E56">
        <v>1</v>
      </c>
      <c r="F56">
        <v>25159</v>
      </c>
      <c r="G56">
        <v>2517.7199999999998</v>
      </c>
      <c r="H56" t="str">
        <f>TEXT(Orders[[#This Row],[Order_Date]],"mmmm")</f>
        <v>January</v>
      </c>
      <c r="I56">
        <f>YEAR(Orders[[#This Row],[Order_Date]])</f>
        <v>2024</v>
      </c>
      <c r="J56" t="str">
        <f>"Q"&amp;ROUNDUP(MONTH(Orders[[#This Row],[Order_Date]])/3,0)</f>
        <v>Q1</v>
      </c>
      <c r="K56" s="2">
        <f>(Orders[[#This Row],[Profit]]/Orders[[#This Row],[Sales]])*100</f>
        <v>10.007233991812074</v>
      </c>
    </row>
    <row r="57" spans="1:11" x14ac:dyDescent="0.3">
      <c r="A57" t="s">
        <v>299</v>
      </c>
      <c r="B57" s="1">
        <v>45483</v>
      </c>
      <c r="C57" t="s">
        <v>158</v>
      </c>
      <c r="D57" t="s">
        <v>279</v>
      </c>
      <c r="E57">
        <v>2</v>
      </c>
      <c r="F57">
        <v>12440</v>
      </c>
      <c r="G57">
        <v>1154.2</v>
      </c>
      <c r="H57" t="str">
        <f>TEXT(Orders[[#This Row],[Order_Date]],"mmmm")</f>
        <v>July</v>
      </c>
      <c r="I57">
        <f>YEAR(Orders[[#This Row],[Order_Date]])</f>
        <v>2024</v>
      </c>
      <c r="J57" t="str">
        <f>"Q"&amp;ROUNDUP(MONTH(Orders[[#This Row],[Order_Date]])/3,0)</f>
        <v>Q3</v>
      </c>
      <c r="K57" s="2">
        <f>(Orders[[#This Row],[Profit]]/Orders[[#This Row],[Sales]])*100</f>
        <v>9.2781350482315119</v>
      </c>
    </row>
    <row r="58" spans="1:11" x14ac:dyDescent="0.3">
      <c r="A58" t="s">
        <v>300</v>
      </c>
      <c r="B58" s="1">
        <v>45474</v>
      </c>
      <c r="C58" t="s">
        <v>166</v>
      </c>
      <c r="D58" t="s">
        <v>279</v>
      </c>
      <c r="E58">
        <v>4</v>
      </c>
      <c r="F58">
        <v>24880</v>
      </c>
      <c r="G58">
        <v>4118.03</v>
      </c>
      <c r="H58" t="str">
        <f>TEXT(Orders[[#This Row],[Order_Date]],"mmmm")</f>
        <v>July</v>
      </c>
      <c r="I58">
        <f>YEAR(Orders[[#This Row],[Order_Date]])</f>
        <v>2024</v>
      </c>
      <c r="J58" t="str">
        <f>"Q"&amp;ROUNDUP(MONTH(Orders[[#This Row],[Order_Date]])/3,0)</f>
        <v>Q3</v>
      </c>
      <c r="K58" s="2">
        <f>(Orders[[#This Row],[Profit]]/Orders[[#This Row],[Sales]])*100</f>
        <v>16.551567524115754</v>
      </c>
    </row>
    <row r="59" spans="1:11" x14ac:dyDescent="0.3">
      <c r="A59" t="s">
        <v>301</v>
      </c>
      <c r="B59" s="1">
        <v>45518</v>
      </c>
      <c r="C59" t="s">
        <v>214</v>
      </c>
      <c r="D59" t="s">
        <v>255</v>
      </c>
      <c r="E59">
        <v>3</v>
      </c>
      <c r="F59">
        <v>76824</v>
      </c>
      <c r="G59">
        <v>6156.95</v>
      </c>
      <c r="H59" t="str">
        <f>TEXT(Orders[[#This Row],[Order_Date]],"mmmm")</f>
        <v>August</v>
      </c>
      <c r="I59">
        <f>YEAR(Orders[[#This Row],[Order_Date]])</f>
        <v>2024</v>
      </c>
      <c r="J59" t="str">
        <f>"Q"&amp;ROUNDUP(MONTH(Orders[[#This Row],[Order_Date]])/3,0)</f>
        <v>Q3</v>
      </c>
      <c r="K59" s="2">
        <f>(Orders[[#This Row],[Profit]]/Orders[[#This Row],[Sales]])*100</f>
        <v>8.0143574924502765</v>
      </c>
    </row>
    <row r="60" spans="1:11" x14ac:dyDescent="0.3">
      <c r="A60" t="s">
        <v>302</v>
      </c>
      <c r="B60" s="1">
        <v>45496</v>
      </c>
      <c r="C60" t="s">
        <v>202</v>
      </c>
      <c r="D60" t="s">
        <v>266</v>
      </c>
      <c r="E60">
        <v>3</v>
      </c>
      <c r="F60">
        <v>33705</v>
      </c>
      <c r="G60">
        <v>4442.8500000000004</v>
      </c>
      <c r="H60" t="str">
        <f>TEXT(Orders[[#This Row],[Order_Date]],"mmmm")</f>
        <v>July</v>
      </c>
      <c r="I60">
        <f>YEAR(Orders[[#This Row],[Order_Date]])</f>
        <v>2024</v>
      </c>
      <c r="J60" t="str">
        <f>"Q"&amp;ROUNDUP(MONTH(Orders[[#This Row],[Order_Date]])/3,0)</f>
        <v>Q3</v>
      </c>
      <c r="K60" s="2">
        <f>(Orders[[#This Row],[Profit]]/Orders[[#This Row],[Sales]])*100</f>
        <v>13.181575433911883</v>
      </c>
    </row>
    <row r="61" spans="1:11" x14ac:dyDescent="0.3">
      <c r="A61" t="s">
        <v>303</v>
      </c>
      <c r="B61" s="1">
        <v>45485</v>
      </c>
      <c r="C61" t="s">
        <v>106</v>
      </c>
      <c r="D61" t="s">
        <v>245</v>
      </c>
      <c r="E61">
        <v>4</v>
      </c>
      <c r="F61">
        <v>96944</v>
      </c>
      <c r="G61">
        <v>9619.39</v>
      </c>
      <c r="H61" t="str">
        <f>TEXT(Orders[[#This Row],[Order_Date]],"mmmm")</f>
        <v>July</v>
      </c>
      <c r="I61">
        <f>YEAR(Orders[[#This Row],[Order_Date]])</f>
        <v>2024</v>
      </c>
      <c r="J61" t="str">
        <f>"Q"&amp;ROUNDUP(MONTH(Orders[[#This Row],[Order_Date]])/3,0)</f>
        <v>Q3</v>
      </c>
      <c r="K61" s="2">
        <f>(Orders[[#This Row],[Profit]]/Orders[[#This Row],[Sales]])*100</f>
        <v>9.9226254332398085</v>
      </c>
    </row>
    <row r="62" spans="1:11" x14ac:dyDescent="0.3">
      <c r="A62" t="s">
        <v>304</v>
      </c>
      <c r="B62" s="1">
        <v>45434</v>
      </c>
      <c r="C62" t="s">
        <v>116</v>
      </c>
      <c r="D62" t="s">
        <v>263</v>
      </c>
      <c r="E62">
        <v>5</v>
      </c>
      <c r="F62">
        <v>35775</v>
      </c>
      <c r="G62">
        <v>2885.57</v>
      </c>
      <c r="H62" t="str">
        <f>TEXT(Orders[[#This Row],[Order_Date]],"mmmm")</f>
        <v>May</v>
      </c>
      <c r="I62">
        <f>YEAR(Orders[[#This Row],[Order_Date]])</f>
        <v>2024</v>
      </c>
      <c r="J62" t="str">
        <f>"Q"&amp;ROUNDUP(MONTH(Orders[[#This Row],[Order_Date]])/3,0)</f>
        <v>Q2</v>
      </c>
      <c r="K62" s="2">
        <f>(Orders[[#This Row],[Profit]]/Orders[[#This Row],[Sales]])*100</f>
        <v>8.065883997204752</v>
      </c>
    </row>
    <row r="63" spans="1:11" x14ac:dyDescent="0.3">
      <c r="A63" t="s">
        <v>305</v>
      </c>
      <c r="B63" s="1">
        <v>45528</v>
      </c>
      <c r="C63" t="s">
        <v>182</v>
      </c>
      <c r="D63" t="s">
        <v>235</v>
      </c>
      <c r="E63">
        <v>5</v>
      </c>
      <c r="F63">
        <v>56710</v>
      </c>
      <c r="G63">
        <v>6454.14</v>
      </c>
      <c r="H63" t="str">
        <f>TEXT(Orders[[#This Row],[Order_Date]],"mmmm")</f>
        <v>August</v>
      </c>
      <c r="I63">
        <f>YEAR(Orders[[#This Row],[Order_Date]])</f>
        <v>2024</v>
      </c>
      <c r="J63" t="str">
        <f>"Q"&amp;ROUNDUP(MONTH(Orders[[#This Row],[Order_Date]])/3,0)</f>
        <v>Q3</v>
      </c>
      <c r="K63" s="2">
        <f>(Orders[[#This Row],[Profit]]/Orders[[#This Row],[Sales]])*100</f>
        <v>11.380955739728444</v>
      </c>
    </row>
    <row r="64" spans="1:11" x14ac:dyDescent="0.3">
      <c r="A64" t="s">
        <v>306</v>
      </c>
      <c r="B64" s="1">
        <v>45656</v>
      </c>
      <c r="C64" t="s">
        <v>172</v>
      </c>
      <c r="D64" t="s">
        <v>255</v>
      </c>
      <c r="E64">
        <v>4</v>
      </c>
      <c r="F64">
        <v>102432</v>
      </c>
      <c r="G64">
        <v>24519.25</v>
      </c>
      <c r="H64" t="str">
        <f>TEXT(Orders[[#This Row],[Order_Date]],"mmmm")</f>
        <v>December</v>
      </c>
      <c r="I64">
        <f>YEAR(Orders[[#This Row],[Order_Date]])</f>
        <v>2024</v>
      </c>
      <c r="J64" t="str">
        <f>"Q"&amp;ROUNDUP(MONTH(Orders[[#This Row],[Order_Date]])/3,0)</f>
        <v>Q4</v>
      </c>
      <c r="K64" s="2">
        <f>(Orders[[#This Row],[Profit]]/Orders[[#This Row],[Sales]])*100</f>
        <v>23.937099734457981</v>
      </c>
    </row>
    <row r="65" spans="1:11" x14ac:dyDescent="0.3">
      <c r="A65" t="s">
        <v>307</v>
      </c>
      <c r="B65" s="1">
        <v>45563</v>
      </c>
      <c r="C65" t="s">
        <v>98</v>
      </c>
      <c r="D65" t="s">
        <v>257</v>
      </c>
      <c r="E65">
        <v>4</v>
      </c>
      <c r="F65">
        <v>26988</v>
      </c>
      <c r="G65">
        <v>5003.7299999999996</v>
      </c>
      <c r="H65" t="str">
        <f>TEXT(Orders[[#This Row],[Order_Date]],"mmmm")</f>
        <v>September</v>
      </c>
      <c r="I65">
        <f>YEAR(Orders[[#This Row],[Order_Date]])</f>
        <v>2024</v>
      </c>
      <c r="J65" t="str">
        <f>"Q"&amp;ROUNDUP(MONTH(Orders[[#This Row],[Order_Date]])/3,0)</f>
        <v>Q3</v>
      </c>
      <c r="K65" s="2">
        <f>(Orders[[#This Row],[Profit]]/Orders[[#This Row],[Sales]])*100</f>
        <v>18.540573588261449</v>
      </c>
    </row>
    <row r="66" spans="1:11" x14ac:dyDescent="0.3">
      <c r="A66" t="s">
        <v>308</v>
      </c>
      <c r="B66" s="1">
        <v>45491</v>
      </c>
      <c r="C66" t="s">
        <v>70</v>
      </c>
      <c r="D66" t="s">
        <v>253</v>
      </c>
      <c r="E66">
        <v>5</v>
      </c>
      <c r="F66">
        <v>30125</v>
      </c>
      <c r="G66">
        <v>2428.02</v>
      </c>
      <c r="H66" t="str">
        <f>TEXT(Orders[[#This Row],[Order_Date]],"mmmm")</f>
        <v>July</v>
      </c>
      <c r="I66">
        <f>YEAR(Orders[[#This Row],[Order_Date]])</f>
        <v>2024</v>
      </c>
      <c r="J66" t="str">
        <f>"Q"&amp;ROUNDUP(MONTH(Orders[[#This Row],[Order_Date]])/3,0)</f>
        <v>Q3</v>
      </c>
      <c r="K66" s="2">
        <f>(Orders[[#This Row],[Profit]]/Orders[[#This Row],[Sales]])*100</f>
        <v>8.0598174273858909</v>
      </c>
    </row>
    <row r="67" spans="1:11" x14ac:dyDescent="0.3">
      <c r="A67" t="s">
        <v>309</v>
      </c>
      <c r="B67" s="1">
        <v>45610</v>
      </c>
      <c r="C67" t="s">
        <v>168</v>
      </c>
      <c r="D67" t="s">
        <v>283</v>
      </c>
      <c r="E67">
        <v>4</v>
      </c>
      <c r="F67">
        <v>216748</v>
      </c>
      <c r="G67">
        <v>29720.86</v>
      </c>
      <c r="H67" t="str">
        <f>TEXT(Orders[[#This Row],[Order_Date]],"mmmm")</f>
        <v>November</v>
      </c>
      <c r="I67">
        <f>YEAR(Orders[[#This Row],[Order_Date]])</f>
        <v>2024</v>
      </c>
      <c r="J67" t="str">
        <f>"Q"&amp;ROUNDUP(MONTH(Orders[[#This Row],[Order_Date]])/3,0)</f>
        <v>Q4</v>
      </c>
      <c r="K67" s="2">
        <f>(Orders[[#This Row],[Profit]]/Orders[[#This Row],[Sales]])*100</f>
        <v>13.712172661339435</v>
      </c>
    </row>
    <row r="68" spans="1:11" x14ac:dyDescent="0.3">
      <c r="A68" t="s">
        <v>310</v>
      </c>
      <c r="B68" s="1">
        <v>45418</v>
      </c>
      <c r="C68" t="s">
        <v>168</v>
      </c>
      <c r="D68" t="s">
        <v>237</v>
      </c>
      <c r="E68">
        <v>4</v>
      </c>
      <c r="F68">
        <v>34504</v>
      </c>
      <c r="G68">
        <v>8553.4599999999991</v>
      </c>
      <c r="H68" t="str">
        <f>TEXT(Orders[[#This Row],[Order_Date]],"mmmm")</f>
        <v>May</v>
      </c>
      <c r="I68">
        <f>YEAR(Orders[[#This Row],[Order_Date]])</f>
        <v>2024</v>
      </c>
      <c r="J68" t="str">
        <f>"Q"&amp;ROUNDUP(MONTH(Orders[[#This Row],[Order_Date]])/3,0)</f>
        <v>Q2</v>
      </c>
      <c r="K68" s="2">
        <f>(Orders[[#This Row],[Profit]]/Orders[[#This Row],[Sales]])*100</f>
        <v>24.789763505680497</v>
      </c>
    </row>
    <row r="69" spans="1:11" x14ac:dyDescent="0.3">
      <c r="A69" t="s">
        <v>311</v>
      </c>
      <c r="B69" s="1">
        <v>45614</v>
      </c>
      <c r="C69" t="s">
        <v>182</v>
      </c>
      <c r="D69" t="s">
        <v>279</v>
      </c>
      <c r="E69">
        <v>1</v>
      </c>
      <c r="F69">
        <v>6220</v>
      </c>
      <c r="G69">
        <v>927.96</v>
      </c>
      <c r="H69" t="str">
        <f>TEXT(Orders[[#This Row],[Order_Date]],"mmmm")</f>
        <v>November</v>
      </c>
      <c r="I69">
        <f>YEAR(Orders[[#This Row],[Order_Date]])</f>
        <v>2024</v>
      </c>
      <c r="J69" t="str">
        <f>"Q"&amp;ROUNDUP(MONTH(Orders[[#This Row],[Order_Date]])/3,0)</f>
        <v>Q4</v>
      </c>
      <c r="K69" s="2">
        <f>(Orders[[#This Row],[Profit]]/Orders[[#This Row],[Sales]])*100</f>
        <v>14.918971061093247</v>
      </c>
    </row>
    <row r="70" spans="1:11" x14ac:dyDescent="0.3">
      <c r="A70" t="s">
        <v>312</v>
      </c>
      <c r="B70" s="1">
        <v>45329</v>
      </c>
      <c r="C70" t="s">
        <v>58</v>
      </c>
      <c r="D70" t="s">
        <v>229</v>
      </c>
      <c r="E70">
        <v>3</v>
      </c>
      <c r="F70">
        <v>26619</v>
      </c>
      <c r="G70">
        <v>5959.08</v>
      </c>
      <c r="H70" t="str">
        <f>TEXT(Orders[[#This Row],[Order_Date]],"mmmm")</f>
        <v>February</v>
      </c>
      <c r="I70">
        <f>YEAR(Orders[[#This Row],[Order_Date]])</f>
        <v>2024</v>
      </c>
      <c r="J70" t="str">
        <f>"Q"&amp;ROUNDUP(MONTH(Orders[[#This Row],[Order_Date]])/3,0)</f>
        <v>Q1</v>
      </c>
      <c r="K70" s="2">
        <f>(Orders[[#This Row],[Profit]]/Orders[[#This Row],[Sales]])*100</f>
        <v>22.386565986701228</v>
      </c>
    </row>
    <row r="71" spans="1:11" x14ac:dyDescent="0.3">
      <c r="A71" t="s">
        <v>313</v>
      </c>
      <c r="B71" s="1">
        <v>45427</v>
      </c>
      <c r="C71" t="s">
        <v>218</v>
      </c>
      <c r="D71" t="s">
        <v>235</v>
      </c>
      <c r="E71">
        <v>1</v>
      </c>
      <c r="F71">
        <v>11342</v>
      </c>
      <c r="G71">
        <v>1581.15</v>
      </c>
      <c r="H71" t="str">
        <f>TEXT(Orders[[#This Row],[Order_Date]],"mmmm")</f>
        <v>May</v>
      </c>
      <c r="I71">
        <f>YEAR(Orders[[#This Row],[Order_Date]])</f>
        <v>2024</v>
      </c>
      <c r="J71" t="str">
        <f>"Q"&amp;ROUNDUP(MONTH(Orders[[#This Row],[Order_Date]])/3,0)</f>
        <v>Q2</v>
      </c>
      <c r="K71" s="2">
        <f>(Orders[[#This Row],[Profit]]/Orders[[#This Row],[Sales]])*100</f>
        <v>13.94066302239464</v>
      </c>
    </row>
    <row r="72" spans="1:11" x14ac:dyDescent="0.3">
      <c r="A72" t="s">
        <v>314</v>
      </c>
      <c r="B72" s="1">
        <v>45528</v>
      </c>
      <c r="C72" t="s">
        <v>200</v>
      </c>
      <c r="D72" t="s">
        <v>283</v>
      </c>
      <c r="E72">
        <v>5</v>
      </c>
      <c r="F72">
        <v>270935</v>
      </c>
      <c r="G72">
        <v>35661.47</v>
      </c>
      <c r="H72" t="str">
        <f>TEXT(Orders[[#This Row],[Order_Date]],"mmmm")</f>
        <v>August</v>
      </c>
      <c r="I72">
        <f>YEAR(Orders[[#This Row],[Order_Date]])</f>
        <v>2024</v>
      </c>
      <c r="J72" t="str">
        <f>"Q"&amp;ROUNDUP(MONTH(Orders[[#This Row],[Order_Date]])/3,0)</f>
        <v>Q3</v>
      </c>
      <c r="K72" s="2">
        <f>(Orders[[#This Row],[Profit]]/Orders[[#This Row],[Sales]])*100</f>
        <v>13.162371048406445</v>
      </c>
    </row>
    <row r="73" spans="1:11" x14ac:dyDescent="0.3">
      <c r="A73" t="s">
        <v>315</v>
      </c>
      <c r="B73" s="1">
        <v>45315</v>
      </c>
      <c r="C73" t="s">
        <v>86</v>
      </c>
      <c r="D73" t="s">
        <v>316</v>
      </c>
      <c r="E73">
        <v>2</v>
      </c>
      <c r="F73">
        <v>108768</v>
      </c>
      <c r="G73">
        <v>17338.43</v>
      </c>
      <c r="H73" t="str">
        <f>TEXT(Orders[[#This Row],[Order_Date]],"mmmm")</f>
        <v>January</v>
      </c>
      <c r="I73">
        <f>YEAR(Orders[[#This Row],[Order_Date]])</f>
        <v>2024</v>
      </c>
      <c r="J73" t="str">
        <f>"Q"&amp;ROUNDUP(MONTH(Orders[[#This Row],[Order_Date]])/3,0)</f>
        <v>Q1</v>
      </c>
      <c r="K73" s="2">
        <f>(Orders[[#This Row],[Profit]]/Orders[[#This Row],[Sales]])*100</f>
        <v>15.940745439835247</v>
      </c>
    </row>
    <row r="74" spans="1:11" x14ac:dyDescent="0.3">
      <c r="A74" t="s">
        <v>317</v>
      </c>
      <c r="B74" s="1">
        <v>45508</v>
      </c>
      <c r="C74" t="s">
        <v>88</v>
      </c>
      <c r="D74" t="s">
        <v>255</v>
      </c>
      <c r="E74">
        <v>1</v>
      </c>
      <c r="F74">
        <v>25608</v>
      </c>
      <c r="G74">
        <v>5290.79</v>
      </c>
      <c r="H74" t="str">
        <f>TEXT(Orders[[#This Row],[Order_Date]],"mmmm")</f>
        <v>August</v>
      </c>
      <c r="I74">
        <f>YEAR(Orders[[#This Row],[Order_Date]])</f>
        <v>2024</v>
      </c>
      <c r="J74" t="str">
        <f>"Q"&amp;ROUNDUP(MONTH(Orders[[#This Row],[Order_Date]])/3,0)</f>
        <v>Q3</v>
      </c>
      <c r="K74" s="2">
        <f>(Orders[[#This Row],[Profit]]/Orders[[#This Row],[Sales]])*100</f>
        <v>20.660691971258981</v>
      </c>
    </row>
    <row r="75" spans="1:11" x14ac:dyDescent="0.3">
      <c r="A75" t="s">
        <v>318</v>
      </c>
      <c r="B75" s="1">
        <v>45302</v>
      </c>
      <c r="C75" t="s">
        <v>33</v>
      </c>
      <c r="D75" t="s">
        <v>253</v>
      </c>
      <c r="E75">
        <v>1</v>
      </c>
      <c r="F75">
        <v>6025</v>
      </c>
      <c r="G75">
        <v>1154.77</v>
      </c>
      <c r="H75" t="str">
        <f>TEXT(Orders[[#This Row],[Order_Date]],"mmmm")</f>
        <v>January</v>
      </c>
      <c r="I75">
        <f>YEAR(Orders[[#This Row],[Order_Date]])</f>
        <v>2024</v>
      </c>
      <c r="J75" t="str">
        <f>"Q"&amp;ROUNDUP(MONTH(Orders[[#This Row],[Order_Date]])/3,0)</f>
        <v>Q1</v>
      </c>
      <c r="K75" s="2">
        <f>(Orders[[#This Row],[Profit]]/Orders[[#This Row],[Sales]])*100</f>
        <v>19.166307053941907</v>
      </c>
    </row>
    <row r="76" spans="1:11" x14ac:dyDescent="0.3">
      <c r="A76" t="s">
        <v>319</v>
      </c>
      <c r="B76" s="1">
        <v>45497</v>
      </c>
      <c r="C76" t="s">
        <v>62</v>
      </c>
      <c r="D76" t="s">
        <v>255</v>
      </c>
      <c r="E76">
        <v>2</v>
      </c>
      <c r="F76">
        <v>51216</v>
      </c>
      <c r="G76">
        <v>10108.81</v>
      </c>
      <c r="H76" t="str">
        <f>TEXT(Orders[[#This Row],[Order_Date]],"mmmm")</f>
        <v>July</v>
      </c>
      <c r="I76">
        <f>YEAR(Orders[[#This Row],[Order_Date]])</f>
        <v>2024</v>
      </c>
      <c r="J76" t="str">
        <f>"Q"&amp;ROUNDUP(MONTH(Orders[[#This Row],[Order_Date]])/3,0)</f>
        <v>Q3</v>
      </c>
      <c r="K76" s="2">
        <f>(Orders[[#This Row],[Profit]]/Orders[[#This Row],[Sales]])*100</f>
        <v>19.737601530771634</v>
      </c>
    </row>
    <row r="77" spans="1:11" x14ac:dyDescent="0.3">
      <c r="A77" t="s">
        <v>320</v>
      </c>
      <c r="B77" s="1">
        <v>45562</v>
      </c>
      <c r="C77" t="s">
        <v>182</v>
      </c>
      <c r="D77" t="s">
        <v>231</v>
      </c>
      <c r="E77">
        <v>5</v>
      </c>
      <c r="F77">
        <v>274685</v>
      </c>
      <c r="G77">
        <v>36189.35</v>
      </c>
      <c r="H77" t="str">
        <f>TEXT(Orders[[#This Row],[Order_Date]],"mmmm")</f>
        <v>September</v>
      </c>
      <c r="I77">
        <f>YEAR(Orders[[#This Row],[Order_Date]])</f>
        <v>2024</v>
      </c>
      <c r="J77" t="str">
        <f>"Q"&amp;ROUNDUP(MONTH(Orders[[#This Row],[Order_Date]])/3,0)</f>
        <v>Q3</v>
      </c>
      <c r="K77" s="2">
        <f>(Orders[[#This Row],[Profit]]/Orders[[#This Row],[Sales]])*100</f>
        <v>13.174854833718621</v>
      </c>
    </row>
    <row r="78" spans="1:11" x14ac:dyDescent="0.3">
      <c r="A78" t="s">
        <v>321</v>
      </c>
      <c r="B78" s="1">
        <v>45330</v>
      </c>
      <c r="C78" t="s">
        <v>72</v>
      </c>
      <c r="D78" t="s">
        <v>227</v>
      </c>
      <c r="E78">
        <v>3</v>
      </c>
      <c r="F78">
        <v>28182</v>
      </c>
      <c r="G78">
        <v>3543.65</v>
      </c>
      <c r="H78" t="str">
        <f>TEXT(Orders[[#This Row],[Order_Date]],"mmmm")</f>
        <v>February</v>
      </c>
      <c r="I78">
        <f>YEAR(Orders[[#This Row],[Order_Date]])</f>
        <v>2024</v>
      </c>
      <c r="J78" t="str">
        <f>"Q"&amp;ROUNDUP(MONTH(Orders[[#This Row],[Order_Date]])/3,0)</f>
        <v>Q1</v>
      </c>
      <c r="K78" s="2">
        <f>(Orders[[#This Row],[Profit]]/Orders[[#This Row],[Sales]])*100</f>
        <v>12.574160811865731</v>
      </c>
    </row>
    <row r="79" spans="1:11" x14ac:dyDescent="0.3">
      <c r="A79" t="s">
        <v>322</v>
      </c>
      <c r="B79" s="1">
        <v>45577</v>
      </c>
      <c r="C79" t="s">
        <v>198</v>
      </c>
      <c r="D79" t="s">
        <v>255</v>
      </c>
      <c r="E79">
        <v>3</v>
      </c>
      <c r="F79">
        <v>76824</v>
      </c>
      <c r="G79">
        <v>12257.21</v>
      </c>
      <c r="H79" t="str">
        <f>TEXT(Orders[[#This Row],[Order_Date]],"mmmm")</f>
        <v>October</v>
      </c>
      <c r="I79">
        <f>YEAR(Orders[[#This Row],[Order_Date]])</f>
        <v>2024</v>
      </c>
      <c r="J79" t="str">
        <f>"Q"&amp;ROUNDUP(MONTH(Orders[[#This Row],[Order_Date]])/3,0)</f>
        <v>Q4</v>
      </c>
      <c r="K79" s="2">
        <f>(Orders[[#This Row],[Profit]]/Orders[[#This Row],[Sales]])*100</f>
        <v>15.954922940747682</v>
      </c>
    </row>
    <row r="80" spans="1:11" x14ac:dyDescent="0.3">
      <c r="A80" t="s">
        <v>323</v>
      </c>
      <c r="B80" s="1">
        <v>45576</v>
      </c>
      <c r="C80" t="s">
        <v>208</v>
      </c>
      <c r="D80" t="s">
        <v>247</v>
      </c>
      <c r="E80">
        <v>2</v>
      </c>
      <c r="F80">
        <v>22312</v>
      </c>
      <c r="G80">
        <v>2911.02</v>
      </c>
      <c r="H80" t="str">
        <f>TEXT(Orders[[#This Row],[Order_Date]],"mmmm")</f>
        <v>October</v>
      </c>
      <c r="I80">
        <f>YEAR(Orders[[#This Row],[Order_Date]])</f>
        <v>2024</v>
      </c>
      <c r="J80" t="str">
        <f>"Q"&amp;ROUNDUP(MONTH(Orders[[#This Row],[Order_Date]])/3,0)</f>
        <v>Q4</v>
      </c>
      <c r="K80" s="2">
        <f>(Orders[[#This Row],[Profit]]/Orders[[#This Row],[Sales]])*100</f>
        <v>13.046880602366439</v>
      </c>
    </row>
    <row r="81" spans="1:11" x14ac:dyDescent="0.3">
      <c r="A81" t="s">
        <v>324</v>
      </c>
      <c r="B81" s="1">
        <v>45492</v>
      </c>
      <c r="C81" t="s">
        <v>88</v>
      </c>
      <c r="D81" t="s">
        <v>253</v>
      </c>
      <c r="E81">
        <v>5</v>
      </c>
      <c r="F81">
        <v>30125</v>
      </c>
      <c r="G81">
        <v>6198.93</v>
      </c>
      <c r="H81" t="str">
        <f>TEXT(Orders[[#This Row],[Order_Date]],"mmmm")</f>
        <v>July</v>
      </c>
      <c r="I81">
        <f>YEAR(Orders[[#This Row],[Order_Date]])</f>
        <v>2024</v>
      </c>
      <c r="J81" t="str">
        <f>"Q"&amp;ROUNDUP(MONTH(Orders[[#This Row],[Order_Date]])/3,0)</f>
        <v>Q3</v>
      </c>
      <c r="K81" s="2">
        <f>(Orders[[#This Row],[Profit]]/Orders[[#This Row],[Sales]])*100</f>
        <v>20.577360995850626</v>
      </c>
    </row>
    <row r="82" spans="1:11" x14ac:dyDescent="0.3">
      <c r="A82" t="s">
        <v>325</v>
      </c>
      <c r="B82" s="1">
        <v>45424</v>
      </c>
      <c r="C82" t="s">
        <v>162</v>
      </c>
      <c r="D82" t="s">
        <v>229</v>
      </c>
      <c r="E82">
        <v>2</v>
      </c>
      <c r="F82">
        <v>17746</v>
      </c>
      <c r="G82">
        <v>2878.69</v>
      </c>
      <c r="H82" t="str">
        <f>TEXT(Orders[[#This Row],[Order_Date]],"mmmm")</f>
        <v>May</v>
      </c>
      <c r="I82">
        <f>YEAR(Orders[[#This Row],[Order_Date]])</f>
        <v>2024</v>
      </c>
      <c r="J82" t="str">
        <f>"Q"&amp;ROUNDUP(MONTH(Orders[[#This Row],[Order_Date]])/3,0)</f>
        <v>Q2</v>
      </c>
      <c r="K82" s="2">
        <f>(Orders[[#This Row],[Profit]]/Orders[[#This Row],[Sales]])*100</f>
        <v>16.221627408993577</v>
      </c>
    </row>
    <row r="83" spans="1:11" x14ac:dyDescent="0.3">
      <c r="A83" t="s">
        <v>326</v>
      </c>
      <c r="B83" s="1">
        <v>45604</v>
      </c>
      <c r="C83" t="s">
        <v>176</v>
      </c>
      <c r="D83" t="s">
        <v>233</v>
      </c>
      <c r="E83">
        <v>2</v>
      </c>
      <c r="F83">
        <v>111390</v>
      </c>
      <c r="G83">
        <v>13811.3</v>
      </c>
      <c r="H83" t="str">
        <f>TEXT(Orders[[#This Row],[Order_Date]],"mmmm")</f>
        <v>November</v>
      </c>
      <c r="I83">
        <f>YEAR(Orders[[#This Row],[Order_Date]])</f>
        <v>2024</v>
      </c>
      <c r="J83" t="str">
        <f>"Q"&amp;ROUNDUP(MONTH(Orders[[#This Row],[Order_Date]])/3,0)</f>
        <v>Q4</v>
      </c>
      <c r="K83" s="2">
        <f>(Orders[[#This Row],[Profit]]/Orders[[#This Row],[Sales]])*100</f>
        <v>12.399048388544752</v>
      </c>
    </row>
    <row r="84" spans="1:11" x14ac:dyDescent="0.3">
      <c r="A84" t="s">
        <v>327</v>
      </c>
      <c r="B84" s="1">
        <v>45610</v>
      </c>
      <c r="C84" t="s">
        <v>200</v>
      </c>
      <c r="D84" t="s">
        <v>227</v>
      </c>
      <c r="E84">
        <v>1</v>
      </c>
      <c r="F84">
        <v>9394</v>
      </c>
      <c r="G84">
        <v>2111.7800000000002</v>
      </c>
      <c r="H84" t="str">
        <f>TEXT(Orders[[#This Row],[Order_Date]],"mmmm")</f>
        <v>November</v>
      </c>
      <c r="I84">
        <f>YEAR(Orders[[#This Row],[Order_Date]])</f>
        <v>2024</v>
      </c>
      <c r="J84" t="str">
        <f>"Q"&amp;ROUNDUP(MONTH(Orders[[#This Row],[Order_Date]])/3,0)</f>
        <v>Q4</v>
      </c>
      <c r="K84" s="2">
        <f>(Orders[[#This Row],[Profit]]/Orders[[#This Row],[Sales]])*100</f>
        <v>22.480093676814992</v>
      </c>
    </row>
    <row r="85" spans="1:11" x14ac:dyDescent="0.3">
      <c r="A85" t="s">
        <v>328</v>
      </c>
      <c r="B85" s="1">
        <v>45419</v>
      </c>
      <c r="C85" t="s">
        <v>122</v>
      </c>
      <c r="D85" t="s">
        <v>233</v>
      </c>
      <c r="E85">
        <v>4</v>
      </c>
      <c r="F85">
        <v>222780</v>
      </c>
      <c r="G85">
        <v>53162.23</v>
      </c>
      <c r="H85" t="str">
        <f>TEXT(Orders[[#This Row],[Order_Date]],"mmmm")</f>
        <v>May</v>
      </c>
      <c r="I85">
        <f>YEAR(Orders[[#This Row],[Order_Date]])</f>
        <v>2024</v>
      </c>
      <c r="J85" t="str">
        <f>"Q"&amp;ROUNDUP(MONTH(Orders[[#This Row],[Order_Date]])/3,0)</f>
        <v>Q2</v>
      </c>
      <c r="K85" s="2">
        <f>(Orders[[#This Row],[Profit]]/Orders[[#This Row],[Sales]])*100</f>
        <v>23.863107101176052</v>
      </c>
    </row>
    <row r="86" spans="1:11" x14ac:dyDescent="0.3">
      <c r="A86" t="s">
        <v>329</v>
      </c>
      <c r="B86" s="1">
        <v>45376</v>
      </c>
      <c r="C86" t="s">
        <v>88</v>
      </c>
      <c r="D86" t="s">
        <v>263</v>
      </c>
      <c r="E86">
        <v>1</v>
      </c>
      <c r="F86">
        <v>7155</v>
      </c>
      <c r="G86">
        <v>1333.7</v>
      </c>
      <c r="H86" t="str">
        <f>TEXT(Orders[[#This Row],[Order_Date]],"mmmm")</f>
        <v>March</v>
      </c>
      <c r="I86">
        <f>YEAR(Orders[[#This Row],[Order_Date]])</f>
        <v>2024</v>
      </c>
      <c r="J86" t="str">
        <f>"Q"&amp;ROUNDUP(MONTH(Orders[[#This Row],[Order_Date]])/3,0)</f>
        <v>Q1</v>
      </c>
      <c r="K86" s="2">
        <f>(Orders[[#This Row],[Profit]]/Orders[[#This Row],[Sales]])*100</f>
        <v>18.640111809923134</v>
      </c>
    </row>
    <row r="87" spans="1:11" x14ac:dyDescent="0.3">
      <c r="A87" t="s">
        <v>330</v>
      </c>
      <c r="B87" s="1">
        <v>45367</v>
      </c>
      <c r="C87" t="s">
        <v>168</v>
      </c>
      <c r="D87" t="s">
        <v>266</v>
      </c>
      <c r="E87">
        <v>5</v>
      </c>
      <c r="F87">
        <v>56175</v>
      </c>
      <c r="G87">
        <v>13214.31</v>
      </c>
      <c r="H87" t="str">
        <f>TEXT(Orders[[#This Row],[Order_Date]],"mmmm")</f>
        <v>March</v>
      </c>
      <c r="I87">
        <f>YEAR(Orders[[#This Row],[Order_Date]])</f>
        <v>2024</v>
      </c>
      <c r="J87" t="str">
        <f>"Q"&amp;ROUNDUP(MONTH(Orders[[#This Row],[Order_Date]])/3,0)</f>
        <v>Q1</v>
      </c>
      <c r="K87" s="2">
        <f>(Orders[[#This Row],[Profit]]/Orders[[#This Row],[Sales]])*100</f>
        <v>23.52347129506008</v>
      </c>
    </row>
    <row r="88" spans="1:11" x14ac:dyDescent="0.3">
      <c r="A88" t="s">
        <v>331</v>
      </c>
      <c r="B88" s="1">
        <v>45362</v>
      </c>
      <c r="C88" t="s">
        <v>174</v>
      </c>
      <c r="D88" t="s">
        <v>231</v>
      </c>
      <c r="E88">
        <v>4</v>
      </c>
      <c r="F88">
        <v>219748</v>
      </c>
      <c r="G88">
        <v>37251.83</v>
      </c>
      <c r="H88" t="str">
        <f>TEXT(Orders[[#This Row],[Order_Date]],"mmmm")</f>
        <v>March</v>
      </c>
      <c r="I88">
        <f>YEAR(Orders[[#This Row],[Order_Date]])</f>
        <v>2024</v>
      </c>
      <c r="J88" t="str">
        <f>"Q"&amp;ROUNDUP(MONTH(Orders[[#This Row],[Order_Date]])/3,0)</f>
        <v>Q1</v>
      </c>
      <c r="K88" s="2">
        <f>(Orders[[#This Row],[Profit]]/Orders[[#This Row],[Sales]])*100</f>
        <v>16.952067823142876</v>
      </c>
    </row>
    <row r="89" spans="1:11" x14ac:dyDescent="0.3">
      <c r="A89" t="s">
        <v>332</v>
      </c>
      <c r="B89" s="1">
        <v>45497</v>
      </c>
      <c r="C89" t="s">
        <v>218</v>
      </c>
      <c r="D89" t="s">
        <v>260</v>
      </c>
      <c r="E89">
        <v>4</v>
      </c>
      <c r="F89">
        <v>223800</v>
      </c>
      <c r="G89">
        <v>31642.02</v>
      </c>
      <c r="H89" t="str">
        <f>TEXT(Orders[[#This Row],[Order_Date]],"mmmm")</f>
        <v>July</v>
      </c>
      <c r="I89">
        <f>YEAR(Orders[[#This Row],[Order_Date]])</f>
        <v>2024</v>
      </c>
      <c r="J89" t="str">
        <f>"Q"&amp;ROUNDUP(MONTH(Orders[[#This Row],[Order_Date]])/3,0)</f>
        <v>Q3</v>
      </c>
      <c r="K89" s="2">
        <f>(Orders[[#This Row],[Profit]]/Orders[[#This Row],[Sales]])*100</f>
        <v>14.138525469168901</v>
      </c>
    </row>
    <row r="90" spans="1:11" x14ac:dyDescent="0.3">
      <c r="A90" t="s">
        <v>333</v>
      </c>
      <c r="B90" s="1">
        <v>45448</v>
      </c>
      <c r="C90" t="s">
        <v>80</v>
      </c>
      <c r="D90" t="s">
        <v>239</v>
      </c>
      <c r="E90">
        <v>2</v>
      </c>
      <c r="F90">
        <v>50318</v>
      </c>
      <c r="G90">
        <v>10171.33</v>
      </c>
      <c r="H90" t="str">
        <f>TEXT(Orders[[#This Row],[Order_Date]],"mmmm")</f>
        <v>June</v>
      </c>
      <c r="I90">
        <f>YEAR(Orders[[#This Row],[Order_Date]])</f>
        <v>2024</v>
      </c>
      <c r="J90" t="str">
        <f>"Q"&amp;ROUNDUP(MONTH(Orders[[#This Row],[Order_Date]])/3,0)</f>
        <v>Q2</v>
      </c>
      <c r="K90" s="2">
        <f>(Orders[[#This Row],[Profit]]/Orders[[#This Row],[Sales]])*100</f>
        <v>20.214098334591995</v>
      </c>
    </row>
    <row r="91" spans="1:11" x14ac:dyDescent="0.3">
      <c r="A91" t="s">
        <v>334</v>
      </c>
      <c r="B91" s="1">
        <v>45544</v>
      </c>
      <c r="C91" t="s">
        <v>33</v>
      </c>
      <c r="D91" t="s">
        <v>239</v>
      </c>
      <c r="E91">
        <v>2</v>
      </c>
      <c r="F91">
        <v>50318</v>
      </c>
      <c r="G91">
        <v>7421.47</v>
      </c>
      <c r="H91" t="str">
        <f>TEXT(Orders[[#This Row],[Order_Date]],"mmmm")</f>
        <v>September</v>
      </c>
      <c r="I91">
        <f>YEAR(Orders[[#This Row],[Order_Date]])</f>
        <v>2024</v>
      </c>
      <c r="J91" t="str">
        <f>"Q"&amp;ROUNDUP(MONTH(Orders[[#This Row],[Order_Date]])/3,0)</f>
        <v>Q3</v>
      </c>
      <c r="K91" s="2">
        <f>(Orders[[#This Row],[Profit]]/Orders[[#This Row],[Sales]])*100</f>
        <v>14.749135498231251</v>
      </c>
    </row>
    <row r="92" spans="1:11" x14ac:dyDescent="0.3">
      <c r="A92" t="s">
        <v>335</v>
      </c>
      <c r="B92" s="1">
        <v>45597</v>
      </c>
      <c r="C92" t="s">
        <v>43</v>
      </c>
      <c r="D92" t="s">
        <v>257</v>
      </c>
      <c r="E92">
        <v>1</v>
      </c>
      <c r="F92">
        <v>6747</v>
      </c>
      <c r="G92">
        <v>603.24</v>
      </c>
      <c r="H92" t="str">
        <f>TEXT(Orders[[#This Row],[Order_Date]],"mmmm")</f>
        <v>November</v>
      </c>
      <c r="I92">
        <f>YEAR(Orders[[#This Row],[Order_Date]])</f>
        <v>2024</v>
      </c>
      <c r="J92" t="str">
        <f>"Q"&amp;ROUNDUP(MONTH(Orders[[#This Row],[Order_Date]])/3,0)</f>
        <v>Q4</v>
      </c>
      <c r="K92" s="2">
        <f>(Orders[[#This Row],[Profit]]/Orders[[#This Row],[Sales]])*100</f>
        <v>8.94086260560249</v>
      </c>
    </row>
    <row r="93" spans="1:11" x14ac:dyDescent="0.3">
      <c r="A93" t="s">
        <v>336</v>
      </c>
      <c r="B93" s="1">
        <v>45562</v>
      </c>
      <c r="C93" t="s">
        <v>17</v>
      </c>
      <c r="D93" t="s">
        <v>263</v>
      </c>
      <c r="E93">
        <v>1</v>
      </c>
      <c r="F93">
        <v>7155</v>
      </c>
      <c r="G93">
        <v>1173.8399999999999</v>
      </c>
      <c r="H93" t="str">
        <f>TEXT(Orders[[#This Row],[Order_Date]],"mmmm")</f>
        <v>September</v>
      </c>
      <c r="I93">
        <f>YEAR(Orders[[#This Row],[Order_Date]])</f>
        <v>2024</v>
      </c>
      <c r="J93" t="str">
        <f>"Q"&amp;ROUNDUP(MONTH(Orders[[#This Row],[Order_Date]])/3,0)</f>
        <v>Q3</v>
      </c>
      <c r="K93" s="2">
        <f>(Orders[[#This Row],[Profit]]/Orders[[#This Row],[Sales]])*100</f>
        <v>16.405870020964358</v>
      </c>
    </row>
    <row r="94" spans="1:11" x14ac:dyDescent="0.3">
      <c r="A94" t="s">
        <v>337</v>
      </c>
      <c r="B94" s="1">
        <v>45432</v>
      </c>
      <c r="C94" t="s">
        <v>204</v>
      </c>
      <c r="D94" t="s">
        <v>235</v>
      </c>
      <c r="E94">
        <v>4</v>
      </c>
      <c r="F94">
        <v>45368</v>
      </c>
      <c r="G94">
        <v>6270.55</v>
      </c>
      <c r="H94" t="str">
        <f>TEXT(Orders[[#This Row],[Order_Date]],"mmmm")</f>
        <v>May</v>
      </c>
      <c r="I94">
        <f>YEAR(Orders[[#This Row],[Order_Date]])</f>
        <v>2024</v>
      </c>
      <c r="J94" t="str">
        <f>"Q"&amp;ROUNDUP(MONTH(Orders[[#This Row],[Order_Date]])/3,0)</f>
        <v>Q2</v>
      </c>
      <c r="K94" s="2">
        <f>(Orders[[#This Row],[Profit]]/Orders[[#This Row],[Sales]])*100</f>
        <v>13.821526185857874</v>
      </c>
    </row>
    <row r="95" spans="1:11" x14ac:dyDescent="0.3">
      <c r="A95" t="s">
        <v>338</v>
      </c>
      <c r="B95" s="1">
        <v>45496</v>
      </c>
      <c r="C95" t="s">
        <v>49</v>
      </c>
      <c r="D95" t="s">
        <v>235</v>
      </c>
      <c r="E95">
        <v>2</v>
      </c>
      <c r="F95">
        <v>22684</v>
      </c>
      <c r="G95">
        <v>2181.96</v>
      </c>
      <c r="H95" t="str">
        <f>TEXT(Orders[[#This Row],[Order_Date]],"mmmm")</f>
        <v>July</v>
      </c>
      <c r="I95">
        <f>YEAR(Orders[[#This Row],[Order_Date]])</f>
        <v>2024</v>
      </c>
      <c r="J95" t="str">
        <f>"Q"&amp;ROUNDUP(MONTH(Orders[[#This Row],[Order_Date]])/3,0)</f>
        <v>Q3</v>
      </c>
      <c r="K95" s="2">
        <f>(Orders[[#This Row],[Profit]]/Orders[[#This Row],[Sales]])*100</f>
        <v>9.6189384588256051</v>
      </c>
    </row>
    <row r="96" spans="1:11" x14ac:dyDescent="0.3">
      <c r="A96" t="s">
        <v>339</v>
      </c>
      <c r="B96" s="1">
        <v>45378</v>
      </c>
      <c r="C96" t="s">
        <v>78</v>
      </c>
      <c r="D96" t="s">
        <v>316</v>
      </c>
      <c r="E96">
        <v>4</v>
      </c>
      <c r="F96">
        <v>217536</v>
      </c>
      <c r="G96">
        <v>31377.83</v>
      </c>
      <c r="H96" t="str">
        <f>TEXT(Orders[[#This Row],[Order_Date]],"mmmm")</f>
        <v>March</v>
      </c>
      <c r="I96">
        <f>YEAR(Orders[[#This Row],[Order_Date]])</f>
        <v>2024</v>
      </c>
      <c r="J96" t="str">
        <f>"Q"&amp;ROUNDUP(MONTH(Orders[[#This Row],[Order_Date]])/3,0)</f>
        <v>Q1</v>
      </c>
      <c r="K96" s="2">
        <f>(Orders[[#This Row],[Profit]]/Orders[[#This Row],[Sales]])*100</f>
        <v>14.424201051779937</v>
      </c>
    </row>
    <row r="97" spans="1:11" x14ac:dyDescent="0.3">
      <c r="A97" t="s">
        <v>340</v>
      </c>
      <c r="B97" s="1">
        <v>45588</v>
      </c>
      <c r="C97" t="s">
        <v>78</v>
      </c>
      <c r="D97" t="s">
        <v>227</v>
      </c>
      <c r="E97">
        <v>3</v>
      </c>
      <c r="F97">
        <v>28182</v>
      </c>
      <c r="G97">
        <v>4470.7299999999996</v>
      </c>
      <c r="H97" t="str">
        <f>TEXT(Orders[[#This Row],[Order_Date]],"mmmm")</f>
        <v>October</v>
      </c>
      <c r="I97">
        <f>YEAR(Orders[[#This Row],[Order_Date]])</f>
        <v>2024</v>
      </c>
      <c r="J97" t="str">
        <f>"Q"&amp;ROUNDUP(MONTH(Orders[[#This Row],[Order_Date]])/3,0)</f>
        <v>Q4</v>
      </c>
      <c r="K97" s="2">
        <f>(Orders[[#This Row],[Profit]]/Orders[[#This Row],[Sales]])*100</f>
        <v>15.863778298204526</v>
      </c>
    </row>
    <row r="98" spans="1:11" x14ac:dyDescent="0.3">
      <c r="A98" t="s">
        <v>341</v>
      </c>
      <c r="B98" s="1">
        <v>45461</v>
      </c>
      <c r="C98" t="s">
        <v>118</v>
      </c>
      <c r="D98" t="s">
        <v>263</v>
      </c>
      <c r="E98">
        <v>4</v>
      </c>
      <c r="F98">
        <v>28620</v>
      </c>
      <c r="G98">
        <v>5768.05</v>
      </c>
      <c r="H98" t="str">
        <f>TEXT(Orders[[#This Row],[Order_Date]],"mmmm")</f>
        <v>June</v>
      </c>
      <c r="I98">
        <f>YEAR(Orders[[#This Row],[Order_Date]])</f>
        <v>2024</v>
      </c>
      <c r="J98" t="str">
        <f>"Q"&amp;ROUNDUP(MONTH(Orders[[#This Row],[Order_Date]])/3,0)</f>
        <v>Q2</v>
      </c>
      <c r="K98" s="2">
        <f>(Orders[[#This Row],[Profit]]/Orders[[#This Row],[Sales]])*100</f>
        <v>20.153913347309572</v>
      </c>
    </row>
    <row r="99" spans="1:11" x14ac:dyDescent="0.3">
      <c r="A99" t="s">
        <v>342</v>
      </c>
      <c r="B99" s="1">
        <v>45332</v>
      </c>
      <c r="C99" t="s">
        <v>146</v>
      </c>
      <c r="D99" t="s">
        <v>245</v>
      </c>
      <c r="E99">
        <v>1</v>
      </c>
      <c r="F99">
        <v>24236</v>
      </c>
      <c r="G99">
        <v>5686.08</v>
      </c>
      <c r="H99" t="str">
        <f>TEXT(Orders[[#This Row],[Order_Date]],"mmmm")</f>
        <v>February</v>
      </c>
      <c r="I99">
        <f>YEAR(Orders[[#This Row],[Order_Date]])</f>
        <v>2024</v>
      </c>
      <c r="J99" t="str">
        <f>"Q"&amp;ROUNDUP(MONTH(Orders[[#This Row],[Order_Date]])/3,0)</f>
        <v>Q1</v>
      </c>
      <c r="K99" s="2">
        <f>(Orders[[#This Row],[Profit]]/Orders[[#This Row],[Sales]])*100</f>
        <v>23.4612972437696</v>
      </c>
    </row>
    <row r="100" spans="1:11" x14ac:dyDescent="0.3">
      <c r="A100" t="s">
        <v>343</v>
      </c>
      <c r="B100" s="1">
        <v>45455</v>
      </c>
      <c r="C100" t="s">
        <v>27</v>
      </c>
      <c r="D100" t="s">
        <v>344</v>
      </c>
      <c r="E100">
        <v>1</v>
      </c>
      <c r="F100">
        <v>9101</v>
      </c>
      <c r="G100">
        <v>2054.91</v>
      </c>
      <c r="H100" t="str">
        <f>TEXT(Orders[[#This Row],[Order_Date]],"mmmm")</f>
        <v>June</v>
      </c>
      <c r="I100">
        <f>YEAR(Orders[[#This Row],[Order_Date]])</f>
        <v>2024</v>
      </c>
      <c r="J100" t="str">
        <f>"Q"&amp;ROUNDUP(MONTH(Orders[[#This Row],[Order_Date]])/3,0)</f>
        <v>Q2</v>
      </c>
      <c r="K100" s="2">
        <f>(Orders[[#This Row],[Profit]]/Orders[[#This Row],[Sales]])*100</f>
        <v>22.578947368421051</v>
      </c>
    </row>
    <row r="101" spans="1:11" x14ac:dyDescent="0.3">
      <c r="A101" t="s">
        <v>345</v>
      </c>
      <c r="B101" s="1">
        <v>45496</v>
      </c>
      <c r="C101" t="s">
        <v>118</v>
      </c>
      <c r="D101" t="s">
        <v>245</v>
      </c>
      <c r="E101">
        <v>3</v>
      </c>
      <c r="F101">
        <v>72708</v>
      </c>
      <c r="G101">
        <v>17173.84</v>
      </c>
      <c r="H101" t="str">
        <f>TEXT(Orders[[#This Row],[Order_Date]],"mmmm")</f>
        <v>July</v>
      </c>
      <c r="I101">
        <f>YEAR(Orders[[#This Row],[Order_Date]])</f>
        <v>2024</v>
      </c>
      <c r="J101" t="str">
        <f>"Q"&amp;ROUNDUP(MONTH(Orders[[#This Row],[Order_Date]])/3,0)</f>
        <v>Q3</v>
      </c>
      <c r="K101" s="2">
        <f>(Orders[[#This Row],[Profit]]/Orders[[#This Row],[Sales]])*100</f>
        <v>23.620289376684823</v>
      </c>
    </row>
    <row r="102" spans="1:11" x14ac:dyDescent="0.3">
      <c r="A102" t="s">
        <v>346</v>
      </c>
      <c r="B102" s="1">
        <v>45366</v>
      </c>
      <c r="C102" t="s">
        <v>60</v>
      </c>
      <c r="D102" t="s">
        <v>260</v>
      </c>
      <c r="E102">
        <v>1</v>
      </c>
      <c r="F102">
        <v>55950</v>
      </c>
      <c r="G102">
        <v>4620.3900000000003</v>
      </c>
      <c r="H102" t="str">
        <f>TEXT(Orders[[#This Row],[Order_Date]],"mmmm")</f>
        <v>March</v>
      </c>
      <c r="I102">
        <f>YEAR(Orders[[#This Row],[Order_Date]])</f>
        <v>2024</v>
      </c>
      <c r="J102" t="str">
        <f>"Q"&amp;ROUNDUP(MONTH(Orders[[#This Row],[Order_Date]])/3,0)</f>
        <v>Q1</v>
      </c>
      <c r="K102" s="2">
        <f>(Orders[[#This Row],[Profit]]/Orders[[#This Row],[Sales]])*100</f>
        <v>8.2580697050938348</v>
      </c>
    </row>
    <row r="103" spans="1:11" x14ac:dyDescent="0.3">
      <c r="A103" t="s">
        <v>347</v>
      </c>
      <c r="B103" s="1">
        <v>45422</v>
      </c>
      <c r="C103" t="s">
        <v>190</v>
      </c>
      <c r="D103" t="s">
        <v>241</v>
      </c>
      <c r="E103">
        <v>1</v>
      </c>
      <c r="F103">
        <v>8362</v>
      </c>
      <c r="G103">
        <v>1471.77</v>
      </c>
      <c r="H103" t="str">
        <f>TEXT(Orders[[#This Row],[Order_Date]],"mmmm")</f>
        <v>May</v>
      </c>
      <c r="I103">
        <f>YEAR(Orders[[#This Row],[Order_Date]])</f>
        <v>2024</v>
      </c>
      <c r="J103" t="str">
        <f>"Q"&amp;ROUNDUP(MONTH(Orders[[#This Row],[Order_Date]])/3,0)</f>
        <v>Q2</v>
      </c>
      <c r="K103" s="2">
        <f>(Orders[[#This Row],[Profit]]/Orders[[#This Row],[Sales]])*100</f>
        <v>17.600693613967948</v>
      </c>
    </row>
    <row r="104" spans="1:11" x14ac:dyDescent="0.3">
      <c r="A104" t="s">
        <v>348</v>
      </c>
      <c r="B104" s="1">
        <v>45447</v>
      </c>
      <c r="C104" t="s">
        <v>51</v>
      </c>
      <c r="D104" t="s">
        <v>237</v>
      </c>
      <c r="E104">
        <v>4</v>
      </c>
      <c r="F104">
        <v>34504</v>
      </c>
      <c r="G104">
        <v>6585.65</v>
      </c>
      <c r="H104" t="str">
        <f>TEXT(Orders[[#This Row],[Order_Date]],"mmmm")</f>
        <v>June</v>
      </c>
      <c r="I104">
        <f>YEAR(Orders[[#This Row],[Order_Date]])</f>
        <v>2024</v>
      </c>
      <c r="J104" t="str">
        <f>"Q"&amp;ROUNDUP(MONTH(Orders[[#This Row],[Order_Date]])/3,0)</f>
        <v>Q2</v>
      </c>
      <c r="K104" s="2">
        <f>(Orders[[#This Row],[Profit]]/Orders[[#This Row],[Sales]])*100</f>
        <v>19.086627637375376</v>
      </c>
    </row>
    <row r="105" spans="1:11" x14ac:dyDescent="0.3">
      <c r="A105" t="s">
        <v>349</v>
      </c>
      <c r="B105" s="1">
        <v>45358</v>
      </c>
      <c r="C105" t="s">
        <v>13</v>
      </c>
      <c r="D105" t="s">
        <v>247</v>
      </c>
      <c r="E105">
        <v>5</v>
      </c>
      <c r="F105">
        <v>55780</v>
      </c>
      <c r="G105">
        <v>5039.43</v>
      </c>
      <c r="H105" t="str">
        <f>TEXT(Orders[[#This Row],[Order_Date]],"mmmm")</f>
        <v>March</v>
      </c>
      <c r="I105">
        <f>YEAR(Orders[[#This Row],[Order_Date]])</f>
        <v>2024</v>
      </c>
      <c r="J105" t="str">
        <f>"Q"&amp;ROUNDUP(MONTH(Orders[[#This Row],[Order_Date]])/3,0)</f>
        <v>Q1</v>
      </c>
      <c r="K105" s="2">
        <f>(Orders[[#This Row],[Profit]]/Orders[[#This Row],[Sales]])*100</f>
        <v>9.0344747221226243</v>
      </c>
    </row>
    <row r="106" spans="1:11" x14ac:dyDescent="0.3">
      <c r="A106" t="s">
        <v>350</v>
      </c>
      <c r="B106" s="1">
        <v>45389</v>
      </c>
      <c r="C106" t="s">
        <v>27</v>
      </c>
      <c r="D106" t="s">
        <v>231</v>
      </c>
      <c r="E106">
        <v>1</v>
      </c>
      <c r="F106">
        <v>54937</v>
      </c>
      <c r="G106">
        <v>8434.2999999999993</v>
      </c>
      <c r="H106" t="str">
        <f>TEXT(Orders[[#This Row],[Order_Date]],"mmmm")</f>
        <v>April</v>
      </c>
      <c r="I106">
        <f>YEAR(Orders[[#This Row],[Order_Date]])</f>
        <v>2024</v>
      </c>
      <c r="J106" t="str">
        <f>"Q"&amp;ROUNDUP(MONTH(Orders[[#This Row],[Order_Date]])/3,0)</f>
        <v>Q2</v>
      </c>
      <c r="K106" s="2">
        <f>(Orders[[#This Row],[Profit]]/Orders[[#This Row],[Sales]])*100</f>
        <v>15.352676702404572</v>
      </c>
    </row>
    <row r="107" spans="1:11" x14ac:dyDescent="0.3">
      <c r="A107" t="s">
        <v>351</v>
      </c>
      <c r="B107" s="1">
        <v>45643</v>
      </c>
      <c r="C107" t="s">
        <v>22</v>
      </c>
      <c r="D107" t="s">
        <v>316</v>
      </c>
      <c r="E107">
        <v>2</v>
      </c>
      <c r="F107">
        <v>108768</v>
      </c>
      <c r="G107">
        <v>22469.77</v>
      </c>
      <c r="H107" t="str">
        <f>TEXT(Orders[[#This Row],[Order_Date]],"mmmm")</f>
        <v>December</v>
      </c>
      <c r="I107">
        <f>YEAR(Orders[[#This Row],[Order_Date]])</f>
        <v>2024</v>
      </c>
      <c r="J107" t="str">
        <f>"Q"&amp;ROUNDUP(MONTH(Orders[[#This Row],[Order_Date]])/3,0)</f>
        <v>Q4</v>
      </c>
      <c r="K107" s="2">
        <f>(Orders[[#This Row],[Profit]]/Orders[[#This Row],[Sales]])*100</f>
        <v>20.65843814357164</v>
      </c>
    </row>
    <row r="108" spans="1:11" x14ac:dyDescent="0.3">
      <c r="A108" t="s">
        <v>352</v>
      </c>
      <c r="B108" s="1">
        <v>45429</v>
      </c>
      <c r="C108" t="s">
        <v>68</v>
      </c>
      <c r="D108" t="s">
        <v>266</v>
      </c>
      <c r="E108">
        <v>4</v>
      </c>
      <c r="F108">
        <v>44940</v>
      </c>
      <c r="G108">
        <v>6114.84</v>
      </c>
      <c r="H108" t="str">
        <f>TEXT(Orders[[#This Row],[Order_Date]],"mmmm")</f>
        <v>May</v>
      </c>
      <c r="I108">
        <f>YEAR(Orders[[#This Row],[Order_Date]])</f>
        <v>2024</v>
      </c>
      <c r="J108" t="str">
        <f>"Q"&amp;ROUNDUP(MONTH(Orders[[#This Row],[Order_Date]])/3,0)</f>
        <v>Q2</v>
      </c>
      <c r="K108" s="2">
        <f>(Orders[[#This Row],[Profit]]/Orders[[#This Row],[Sales]])*100</f>
        <v>13.606675567423231</v>
      </c>
    </row>
    <row r="109" spans="1:11" x14ac:dyDescent="0.3">
      <c r="A109" t="s">
        <v>353</v>
      </c>
      <c r="B109" s="1">
        <v>45594</v>
      </c>
      <c r="C109" t="s">
        <v>86</v>
      </c>
      <c r="D109" t="s">
        <v>227</v>
      </c>
      <c r="E109">
        <v>2</v>
      </c>
      <c r="F109">
        <v>18788</v>
      </c>
      <c r="G109">
        <v>1695.27</v>
      </c>
      <c r="H109" t="str">
        <f>TEXT(Orders[[#This Row],[Order_Date]],"mmmm")</f>
        <v>October</v>
      </c>
      <c r="I109">
        <f>YEAR(Orders[[#This Row],[Order_Date]])</f>
        <v>2024</v>
      </c>
      <c r="J109" t="str">
        <f>"Q"&amp;ROUNDUP(MONTH(Orders[[#This Row],[Order_Date]])/3,0)</f>
        <v>Q4</v>
      </c>
      <c r="K109" s="2">
        <f>(Orders[[#This Row],[Profit]]/Orders[[#This Row],[Sales]])*100</f>
        <v>9.0231530764317647</v>
      </c>
    </row>
    <row r="110" spans="1:11" x14ac:dyDescent="0.3">
      <c r="A110" t="s">
        <v>354</v>
      </c>
      <c r="B110" s="1">
        <v>45578</v>
      </c>
      <c r="C110" t="s">
        <v>64</v>
      </c>
      <c r="D110" t="s">
        <v>253</v>
      </c>
      <c r="E110">
        <v>4</v>
      </c>
      <c r="F110">
        <v>24100</v>
      </c>
      <c r="G110">
        <v>4408.13</v>
      </c>
      <c r="H110" t="str">
        <f>TEXT(Orders[[#This Row],[Order_Date]],"mmmm")</f>
        <v>October</v>
      </c>
      <c r="I110">
        <f>YEAR(Orders[[#This Row],[Order_Date]])</f>
        <v>2024</v>
      </c>
      <c r="J110" t="str">
        <f>"Q"&amp;ROUNDUP(MONTH(Orders[[#This Row],[Order_Date]])/3,0)</f>
        <v>Q4</v>
      </c>
      <c r="K110" s="2">
        <f>(Orders[[#This Row],[Profit]]/Orders[[#This Row],[Sales]])*100</f>
        <v>18.290995850622409</v>
      </c>
    </row>
    <row r="111" spans="1:11" x14ac:dyDescent="0.3">
      <c r="A111" t="s">
        <v>355</v>
      </c>
      <c r="B111" s="1">
        <v>45572</v>
      </c>
      <c r="C111" t="s">
        <v>182</v>
      </c>
      <c r="D111" t="s">
        <v>255</v>
      </c>
      <c r="E111">
        <v>1</v>
      </c>
      <c r="F111">
        <v>25608</v>
      </c>
      <c r="G111">
        <v>5988.64</v>
      </c>
      <c r="H111" t="str">
        <f>TEXT(Orders[[#This Row],[Order_Date]],"mmmm")</f>
        <v>October</v>
      </c>
      <c r="I111">
        <f>YEAR(Orders[[#This Row],[Order_Date]])</f>
        <v>2024</v>
      </c>
      <c r="J111" t="str">
        <f>"Q"&amp;ROUNDUP(MONTH(Orders[[#This Row],[Order_Date]])/3,0)</f>
        <v>Q4</v>
      </c>
      <c r="K111" s="2">
        <f>(Orders[[#This Row],[Profit]]/Orders[[#This Row],[Sales]])*100</f>
        <v>23.385816932208687</v>
      </c>
    </row>
    <row r="112" spans="1:11" x14ac:dyDescent="0.3">
      <c r="A112" t="s">
        <v>356</v>
      </c>
      <c r="B112" s="1">
        <v>45566</v>
      </c>
      <c r="C112" t="s">
        <v>124</v>
      </c>
      <c r="D112" t="s">
        <v>241</v>
      </c>
      <c r="E112">
        <v>2</v>
      </c>
      <c r="F112">
        <v>16724</v>
      </c>
      <c r="G112">
        <v>3361.19</v>
      </c>
      <c r="H112" t="str">
        <f>TEXT(Orders[[#This Row],[Order_Date]],"mmmm")</f>
        <v>October</v>
      </c>
      <c r="I112">
        <f>YEAR(Orders[[#This Row],[Order_Date]])</f>
        <v>2024</v>
      </c>
      <c r="J112" t="str">
        <f>"Q"&amp;ROUNDUP(MONTH(Orders[[#This Row],[Order_Date]])/3,0)</f>
        <v>Q4</v>
      </c>
      <c r="K112" s="2">
        <f>(Orders[[#This Row],[Profit]]/Orders[[#This Row],[Sales]])*100</f>
        <v>20.098002870126763</v>
      </c>
    </row>
    <row r="113" spans="1:11" x14ac:dyDescent="0.3">
      <c r="A113" t="s">
        <v>357</v>
      </c>
      <c r="B113" s="1">
        <v>45329</v>
      </c>
      <c r="C113" t="s">
        <v>128</v>
      </c>
      <c r="D113" t="s">
        <v>237</v>
      </c>
      <c r="E113">
        <v>3</v>
      </c>
      <c r="F113">
        <v>25878</v>
      </c>
      <c r="G113">
        <v>5340.14</v>
      </c>
      <c r="H113" t="str">
        <f>TEXT(Orders[[#This Row],[Order_Date]],"mmmm")</f>
        <v>February</v>
      </c>
      <c r="I113">
        <f>YEAR(Orders[[#This Row],[Order_Date]])</f>
        <v>2024</v>
      </c>
      <c r="J113" t="str">
        <f>"Q"&amp;ROUNDUP(MONTH(Orders[[#This Row],[Order_Date]])/3,0)</f>
        <v>Q1</v>
      </c>
      <c r="K113" s="2">
        <f>(Orders[[#This Row],[Profit]]/Orders[[#This Row],[Sales]])*100</f>
        <v>20.635829662261383</v>
      </c>
    </row>
    <row r="114" spans="1:11" x14ac:dyDescent="0.3">
      <c r="A114" t="s">
        <v>358</v>
      </c>
      <c r="B114" s="1">
        <v>45396</v>
      </c>
      <c r="C114" t="s">
        <v>84</v>
      </c>
      <c r="D114" t="s">
        <v>257</v>
      </c>
      <c r="E114">
        <v>1</v>
      </c>
      <c r="F114">
        <v>6747</v>
      </c>
      <c r="G114">
        <v>712.97</v>
      </c>
      <c r="H114" t="str">
        <f>TEXT(Orders[[#This Row],[Order_Date]],"mmmm")</f>
        <v>April</v>
      </c>
      <c r="I114">
        <f>YEAR(Orders[[#This Row],[Order_Date]])</f>
        <v>2024</v>
      </c>
      <c r="J114" t="str">
        <f>"Q"&amp;ROUNDUP(MONTH(Orders[[#This Row],[Order_Date]])/3,0)</f>
        <v>Q2</v>
      </c>
      <c r="K114" s="2">
        <f>(Orders[[#This Row],[Profit]]/Orders[[#This Row],[Sales]])*100</f>
        <v>10.567215058544539</v>
      </c>
    </row>
    <row r="115" spans="1:11" x14ac:dyDescent="0.3">
      <c r="A115" t="s">
        <v>359</v>
      </c>
      <c r="B115" s="1">
        <v>45554</v>
      </c>
      <c r="C115" t="s">
        <v>128</v>
      </c>
      <c r="D115" t="s">
        <v>247</v>
      </c>
      <c r="E115">
        <v>1</v>
      </c>
      <c r="F115">
        <v>11156</v>
      </c>
      <c r="G115">
        <v>2100.8000000000002</v>
      </c>
      <c r="H115" t="str">
        <f>TEXT(Orders[[#This Row],[Order_Date]],"mmmm")</f>
        <v>September</v>
      </c>
      <c r="I115">
        <f>YEAR(Orders[[#This Row],[Order_Date]])</f>
        <v>2024</v>
      </c>
      <c r="J115" t="str">
        <f>"Q"&amp;ROUNDUP(MONTH(Orders[[#This Row],[Order_Date]])/3,0)</f>
        <v>Q3</v>
      </c>
      <c r="K115" s="2">
        <f>(Orders[[#This Row],[Profit]]/Orders[[#This Row],[Sales]])*100</f>
        <v>18.831122266045181</v>
      </c>
    </row>
    <row r="116" spans="1:11" x14ac:dyDescent="0.3">
      <c r="A116" t="s">
        <v>360</v>
      </c>
      <c r="B116" s="1">
        <v>45452</v>
      </c>
      <c r="C116" t="s">
        <v>140</v>
      </c>
      <c r="D116" t="s">
        <v>255</v>
      </c>
      <c r="E116">
        <v>3</v>
      </c>
      <c r="F116">
        <v>76824</v>
      </c>
      <c r="G116">
        <v>7442.55</v>
      </c>
      <c r="H116" t="str">
        <f>TEXT(Orders[[#This Row],[Order_Date]],"mmmm")</f>
        <v>June</v>
      </c>
      <c r="I116">
        <f>YEAR(Orders[[#This Row],[Order_Date]])</f>
        <v>2024</v>
      </c>
      <c r="J116" t="str">
        <f>"Q"&amp;ROUNDUP(MONTH(Orders[[#This Row],[Order_Date]])/3,0)</f>
        <v>Q2</v>
      </c>
      <c r="K116" s="2">
        <f>(Orders[[#This Row],[Profit]]/Orders[[#This Row],[Sales]])*100</f>
        <v>9.687792877225867</v>
      </c>
    </row>
    <row r="117" spans="1:11" x14ac:dyDescent="0.3">
      <c r="A117" t="s">
        <v>361</v>
      </c>
      <c r="B117" s="1">
        <v>45632</v>
      </c>
      <c r="C117" t="s">
        <v>27</v>
      </c>
      <c r="D117" t="s">
        <v>260</v>
      </c>
      <c r="E117">
        <v>5</v>
      </c>
      <c r="F117">
        <v>279750</v>
      </c>
      <c r="G117">
        <v>23958.25</v>
      </c>
      <c r="H117" t="str">
        <f>TEXT(Orders[[#This Row],[Order_Date]],"mmmm")</f>
        <v>December</v>
      </c>
      <c r="I117">
        <f>YEAR(Orders[[#This Row],[Order_Date]])</f>
        <v>2024</v>
      </c>
      <c r="J117" t="str">
        <f>"Q"&amp;ROUNDUP(MONTH(Orders[[#This Row],[Order_Date]])/3,0)</f>
        <v>Q4</v>
      </c>
      <c r="K117" s="2">
        <f>(Orders[[#This Row],[Profit]]/Orders[[#This Row],[Sales]])*100</f>
        <v>8.5641644325290436</v>
      </c>
    </row>
    <row r="118" spans="1:11" x14ac:dyDescent="0.3">
      <c r="A118" t="s">
        <v>362</v>
      </c>
      <c r="B118" s="1">
        <v>45560</v>
      </c>
      <c r="C118" t="s">
        <v>51</v>
      </c>
      <c r="D118" t="s">
        <v>229</v>
      </c>
      <c r="E118">
        <v>4</v>
      </c>
      <c r="F118">
        <v>35492</v>
      </c>
      <c r="G118">
        <v>2987.91</v>
      </c>
      <c r="H118" t="str">
        <f>TEXT(Orders[[#This Row],[Order_Date]],"mmmm")</f>
        <v>September</v>
      </c>
      <c r="I118">
        <f>YEAR(Orders[[#This Row],[Order_Date]])</f>
        <v>2024</v>
      </c>
      <c r="J118" t="str">
        <f>"Q"&amp;ROUNDUP(MONTH(Orders[[#This Row],[Order_Date]])/3,0)</f>
        <v>Q3</v>
      </c>
      <c r="K118" s="2">
        <f>(Orders[[#This Row],[Profit]]/Orders[[#This Row],[Sales]])*100</f>
        <v>8.4185450242308129</v>
      </c>
    </row>
    <row r="119" spans="1:11" x14ac:dyDescent="0.3">
      <c r="A119" t="s">
        <v>363</v>
      </c>
      <c r="B119" s="1">
        <v>45335</v>
      </c>
      <c r="C119" t="s">
        <v>88</v>
      </c>
      <c r="D119" t="s">
        <v>237</v>
      </c>
      <c r="E119">
        <v>3</v>
      </c>
      <c r="F119">
        <v>25878</v>
      </c>
      <c r="G119">
        <v>5591.38</v>
      </c>
      <c r="H119" t="str">
        <f>TEXT(Orders[[#This Row],[Order_Date]],"mmmm")</f>
        <v>February</v>
      </c>
      <c r="I119">
        <f>YEAR(Orders[[#This Row],[Order_Date]])</f>
        <v>2024</v>
      </c>
      <c r="J119" t="str">
        <f>"Q"&amp;ROUNDUP(MONTH(Orders[[#This Row],[Order_Date]])/3,0)</f>
        <v>Q1</v>
      </c>
      <c r="K119" s="2">
        <f>(Orders[[#This Row],[Profit]]/Orders[[#This Row],[Sales]])*100</f>
        <v>21.606692943813279</v>
      </c>
    </row>
    <row r="120" spans="1:11" x14ac:dyDescent="0.3">
      <c r="A120" t="s">
        <v>364</v>
      </c>
      <c r="B120" s="1">
        <v>45425</v>
      </c>
      <c r="C120" t="s">
        <v>96</v>
      </c>
      <c r="D120" t="s">
        <v>247</v>
      </c>
      <c r="E120">
        <v>4</v>
      </c>
      <c r="F120">
        <v>44624</v>
      </c>
      <c r="G120">
        <v>4011.15</v>
      </c>
      <c r="H120" t="str">
        <f>TEXT(Orders[[#This Row],[Order_Date]],"mmmm")</f>
        <v>May</v>
      </c>
      <c r="I120">
        <f>YEAR(Orders[[#This Row],[Order_Date]])</f>
        <v>2024</v>
      </c>
      <c r="J120" t="str">
        <f>"Q"&amp;ROUNDUP(MONTH(Orders[[#This Row],[Order_Date]])/3,0)</f>
        <v>Q2</v>
      </c>
      <c r="K120" s="2">
        <f>(Orders[[#This Row],[Profit]]/Orders[[#This Row],[Sales]])*100</f>
        <v>8.9887728576550732</v>
      </c>
    </row>
    <row r="121" spans="1:11" x14ac:dyDescent="0.3">
      <c r="A121" t="s">
        <v>365</v>
      </c>
      <c r="B121" s="1">
        <v>45351</v>
      </c>
      <c r="C121" t="s">
        <v>100</v>
      </c>
      <c r="D121" t="s">
        <v>260</v>
      </c>
      <c r="E121">
        <v>3</v>
      </c>
      <c r="F121">
        <v>167850</v>
      </c>
      <c r="G121">
        <v>36100.720000000001</v>
      </c>
      <c r="H121" t="str">
        <f>TEXT(Orders[[#This Row],[Order_Date]],"mmmm")</f>
        <v>February</v>
      </c>
      <c r="I121">
        <f>YEAR(Orders[[#This Row],[Order_Date]])</f>
        <v>2024</v>
      </c>
      <c r="J121" t="str">
        <f>"Q"&amp;ROUNDUP(MONTH(Orders[[#This Row],[Order_Date]])/3,0)</f>
        <v>Q1</v>
      </c>
      <c r="K121" s="2">
        <f>(Orders[[#This Row],[Profit]]/Orders[[#This Row],[Sales]])*100</f>
        <v>21.507727137324995</v>
      </c>
    </row>
    <row r="122" spans="1:11" x14ac:dyDescent="0.3">
      <c r="A122" t="s">
        <v>366</v>
      </c>
      <c r="B122" s="1">
        <v>45417</v>
      </c>
      <c r="C122" t="s">
        <v>192</v>
      </c>
      <c r="D122" t="s">
        <v>279</v>
      </c>
      <c r="E122">
        <v>1</v>
      </c>
      <c r="F122">
        <v>6220</v>
      </c>
      <c r="G122">
        <v>946.82</v>
      </c>
      <c r="H122" t="str">
        <f>TEXT(Orders[[#This Row],[Order_Date]],"mmmm")</f>
        <v>May</v>
      </c>
      <c r="I122">
        <f>YEAR(Orders[[#This Row],[Order_Date]])</f>
        <v>2024</v>
      </c>
      <c r="J122" t="str">
        <f>"Q"&amp;ROUNDUP(MONTH(Orders[[#This Row],[Order_Date]])/3,0)</f>
        <v>Q2</v>
      </c>
      <c r="K122" s="2">
        <f>(Orders[[#This Row],[Profit]]/Orders[[#This Row],[Sales]])*100</f>
        <v>15.222186495176851</v>
      </c>
    </row>
    <row r="123" spans="1:11" x14ac:dyDescent="0.3">
      <c r="A123" t="s">
        <v>367</v>
      </c>
      <c r="B123" s="1">
        <v>45465</v>
      </c>
      <c r="C123" t="s">
        <v>148</v>
      </c>
      <c r="D123" t="s">
        <v>241</v>
      </c>
      <c r="E123">
        <v>2</v>
      </c>
      <c r="F123">
        <v>16724</v>
      </c>
      <c r="G123">
        <v>2276.44</v>
      </c>
      <c r="H123" t="str">
        <f>TEXT(Orders[[#This Row],[Order_Date]],"mmmm")</f>
        <v>June</v>
      </c>
      <c r="I123">
        <f>YEAR(Orders[[#This Row],[Order_Date]])</f>
        <v>2024</v>
      </c>
      <c r="J123" t="str">
        <f>"Q"&amp;ROUNDUP(MONTH(Orders[[#This Row],[Order_Date]])/3,0)</f>
        <v>Q2</v>
      </c>
      <c r="K123" s="2">
        <f>(Orders[[#This Row],[Profit]]/Orders[[#This Row],[Sales]])*100</f>
        <v>13.611815355178186</v>
      </c>
    </row>
    <row r="124" spans="1:11" x14ac:dyDescent="0.3">
      <c r="A124" t="s">
        <v>368</v>
      </c>
      <c r="B124" s="1">
        <v>45358</v>
      </c>
      <c r="C124" t="s">
        <v>150</v>
      </c>
      <c r="D124" t="s">
        <v>229</v>
      </c>
      <c r="E124">
        <v>5</v>
      </c>
      <c r="F124">
        <v>44365</v>
      </c>
      <c r="G124">
        <v>7178.08</v>
      </c>
      <c r="H124" t="str">
        <f>TEXT(Orders[[#This Row],[Order_Date]],"mmmm")</f>
        <v>March</v>
      </c>
      <c r="I124">
        <f>YEAR(Orders[[#This Row],[Order_Date]])</f>
        <v>2024</v>
      </c>
      <c r="J124" t="str">
        <f>"Q"&amp;ROUNDUP(MONTH(Orders[[#This Row],[Order_Date]])/3,0)</f>
        <v>Q1</v>
      </c>
      <c r="K124" s="2">
        <f>(Orders[[#This Row],[Profit]]/Orders[[#This Row],[Sales]])*100</f>
        <v>16.179601036853374</v>
      </c>
    </row>
    <row r="125" spans="1:11" x14ac:dyDescent="0.3">
      <c r="A125" t="s">
        <v>369</v>
      </c>
      <c r="B125" s="1">
        <v>45589</v>
      </c>
      <c r="C125" t="s">
        <v>186</v>
      </c>
      <c r="D125" t="s">
        <v>266</v>
      </c>
      <c r="E125">
        <v>5</v>
      </c>
      <c r="F125">
        <v>56175</v>
      </c>
      <c r="G125">
        <v>13929.44</v>
      </c>
      <c r="H125" t="str">
        <f>TEXT(Orders[[#This Row],[Order_Date]],"mmmm")</f>
        <v>October</v>
      </c>
      <c r="I125">
        <f>YEAR(Orders[[#This Row],[Order_Date]])</f>
        <v>2024</v>
      </c>
      <c r="J125" t="str">
        <f>"Q"&amp;ROUNDUP(MONTH(Orders[[#This Row],[Order_Date]])/3,0)</f>
        <v>Q4</v>
      </c>
      <c r="K125" s="2">
        <f>(Orders[[#This Row],[Profit]]/Orders[[#This Row],[Sales]])*100</f>
        <v>24.796510903426793</v>
      </c>
    </row>
    <row r="126" spans="1:11" x14ac:dyDescent="0.3">
      <c r="A126" t="s">
        <v>370</v>
      </c>
      <c r="B126" s="1">
        <v>45441</v>
      </c>
      <c r="C126" t="s">
        <v>198</v>
      </c>
      <c r="D126" t="s">
        <v>255</v>
      </c>
      <c r="E126">
        <v>5</v>
      </c>
      <c r="F126">
        <v>128040</v>
      </c>
      <c r="G126">
        <v>10902.05</v>
      </c>
      <c r="H126" t="str">
        <f>TEXT(Orders[[#This Row],[Order_Date]],"mmmm")</f>
        <v>May</v>
      </c>
      <c r="I126">
        <f>YEAR(Orders[[#This Row],[Order_Date]])</f>
        <v>2024</v>
      </c>
      <c r="J126" t="str">
        <f>"Q"&amp;ROUNDUP(MONTH(Orders[[#This Row],[Order_Date]])/3,0)</f>
        <v>Q2</v>
      </c>
      <c r="K126" s="2">
        <f>(Orders[[#This Row],[Profit]]/Orders[[#This Row],[Sales]])*100</f>
        <v>8.5145657606997815</v>
      </c>
    </row>
    <row r="127" spans="1:11" x14ac:dyDescent="0.3">
      <c r="A127" t="s">
        <v>371</v>
      </c>
      <c r="B127" s="1">
        <v>45558</v>
      </c>
      <c r="C127" t="s">
        <v>210</v>
      </c>
      <c r="D127" t="s">
        <v>257</v>
      </c>
      <c r="E127">
        <v>2</v>
      </c>
      <c r="F127">
        <v>13494</v>
      </c>
      <c r="G127">
        <v>1929.1</v>
      </c>
      <c r="H127" t="str">
        <f>TEXT(Orders[[#This Row],[Order_Date]],"mmmm")</f>
        <v>September</v>
      </c>
      <c r="I127">
        <f>YEAR(Orders[[#This Row],[Order_Date]])</f>
        <v>2024</v>
      </c>
      <c r="J127" t="str">
        <f>"Q"&amp;ROUNDUP(MONTH(Orders[[#This Row],[Order_Date]])/3,0)</f>
        <v>Q3</v>
      </c>
      <c r="K127" s="2">
        <f>(Orders[[#This Row],[Profit]]/Orders[[#This Row],[Sales]])*100</f>
        <v>14.295983400029641</v>
      </c>
    </row>
    <row r="128" spans="1:11" x14ac:dyDescent="0.3">
      <c r="A128" t="s">
        <v>372</v>
      </c>
      <c r="B128" s="1">
        <v>45586</v>
      </c>
      <c r="C128" t="s">
        <v>102</v>
      </c>
      <c r="D128" t="s">
        <v>239</v>
      </c>
      <c r="E128">
        <v>4</v>
      </c>
      <c r="F128">
        <v>100636</v>
      </c>
      <c r="G128">
        <v>13959.67</v>
      </c>
      <c r="H128" t="str">
        <f>TEXT(Orders[[#This Row],[Order_Date]],"mmmm")</f>
        <v>October</v>
      </c>
      <c r="I128">
        <f>YEAR(Orders[[#This Row],[Order_Date]])</f>
        <v>2024</v>
      </c>
      <c r="J128" t="str">
        <f>"Q"&amp;ROUNDUP(MONTH(Orders[[#This Row],[Order_Date]])/3,0)</f>
        <v>Q4</v>
      </c>
      <c r="K128" s="2">
        <f>(Orders[[#This Row],[Profit]]/Orders[[#This Row],[Sales]])*100</f>
        <v>13.871447593306572</v>
      </c>
    </row>
    <row r="129" spans="1:11" x14ac:dyDescent="0.3">
      <c r="A129" t="s">
        <v>373</v>
      </c>
      <c r="B129" s="1">
        <v>45625</v>
      </c>
      <c r="C129" t="s">
        <v>33</v>
      </c>
      <c r="D129" t="s">
        <v>247</v>
      </c>
      <c r="E129">
        <v>3</v>
      </c>
      <c r="F129">
        <v>33468</v>
      </c>
      <c r="G129">
        <v>7314.14</v>
      </c>
      <c r="H129" t="str">
        <f>TEXT(Orders[[#This Row],[Order_Date]],"mmmm")</f>
        <v>November</v>
      </c>
      <c r="I129">
        <f>YEAR(Orders[[#This Row],[Order_Date]])</f>
        <v>2024</v>
      </c>
      <c r="J129" t="str">
        <f>"Q"&amp;ROUNDUP(MONTH(Orders[[#This Row],[Order_Date]])/3,0)</f>
        <v>Q4</v>
      </c>
      <c r="K129" s="2">
        <f>(Orders[[#This Row],[Profit]]/Orders[[#This Row],[Sales]])*100</f>
        <v>21.854129317557071</v>
      </c>
    </row>
    <row r="130" spans="1:11" x14ac:dyDescent="0.3">
      <c r="A130" t="s">
        <v>374</v>
      </c>
      <c r="B130" s="1">
        <v>45472</v>
      </c>
      <c r="C130" t="s">
        <v>156</v>
      </c>
      <c r="D130" t="s">
        <v>233</v>
      </c>
      <c r="E130">
        <v>4</v>
      </c>
      <c r="F130">
        <v>222780</v>
      </c>
      <c r="G130">
        <v>29120.59</v>
      </c>
      <c r="H130" t="str">
        <f>TEXT(Orders[[#This Row],[Order_Date]],"mmmm")</f>
        <v>June</v>
      </c>
      <c r="I130">
        <f>YEAR(Orders[[#This Row],[Order_Date]])</f>
        <v>2024</v>
      </c>
      <c r="J130" t="str">
        <f>"Q"&amp;ROUNDUP(MONTH(Orders[[#This Row],[Order_Date]])/3,0)</f>
        <v>Q2</v>
      </c>
      <c r="K130" s="2">
        <f>(Orders[[#This Row],[Profit]]/Orders[[#This Row],[Sales]])*100</f>
        <v>13.07145614507586</v>
      </c>
    </row>
    <row r="131" spans="1:11" x14ac:dyDescent="0.3">
      <c r="A131" t="s">
        <v>375</v>
      </c>
      <c r="B131" s="1">
        <v>45561</v>
      </c>
      <c r="C131" t="s">
        <v>88</v>
      </c>
      <c r="D131" t="s">
        <v>233</v>
      </c>
      <c r="E131">
        <v>5</v>
      </c>
      <c r="F131">
        <v>278475</v>
      </c>
      <c r="G131">
        <v>45998.41</v>
      </c>
      <c r="H131" t="str">
        <f>TEXT(Orders[[#This Row],[Order_Date]],"mmmm")</f>
        <v>September</v>
      </c>
      <c r="I131">
        <f>YEAR(Orders[[#This Row],[Order_Date]])</f>
        <v>2024</v>
      </c>
      <c r="J131" t="str">
        <f>"Q"&amp;ROUNDUP(MONTH(Orders[[#This Row],[Order_Date]])/3,0)</f>
        <v>Q3</v>
      </c>
      <c r="K131" s="2">
        <f>(Orders[[#This Row],[Profit]]/Orders[[#This Row],[Sales]])*100</f>
        <v>16.517967501571057</v>
      </c>
    </row>
    <row r="132" spans="1:11" x14ac:dyDescent="0.3">
      <c r="A132" t="s">
        <v>376</v>
      </c>
      <c r="B132" s="1">
        <v>45458</v>
      </c>
      <c r="C132" t="s">
        <v>49</v>
      </c>
      <c r="D132" t="s">
        <v>260</v>
      </c>
      <c r="E132">
        <v>3</v>
      </c>
      <c r="F132">
        <v>167850</v>
      </c>
      <c r="G132">
        <v>39520.46</v>
      </c>
      <c r="H132" t="str">
        <f>TEXT(Orders[[#This Row],[Order_Date]],"mmmm")</f>
        <v>June</v>
      </c>
      <c r="I132">
        <f>YEAR(Orders[[#This Row],[Order_Date]])</f>
        <v>2024</v>
      </c>
      <c r="J132" t="str">
        <f>"Q"&amp;ROUNDUP(MONTH(Orders[[#This Row],[Order_Date]])/3,0)</f>
        <v>Q2</v>
      </c>
      <c r="K132" s="2">
        <f>(Orders[[#This Row],[Profit]]/Orders[[#This Row],[Sales]])*100</f>
        <v>23.545105749180816</v>
      </c>
    </row>
    <row r="133" spans="1:11" x14ac:dyDescent="0.3">
      <c r="A133" t="s">
        <v>377</v>
      </c>
      <c r="B133" s="1">
        <v>45435</v>
      </c>
      <c r="C133" t="s">
        <v>102</v>
      </c>
      <c r="D133" t="s">
        <v>245</v>
      </c>
      <c r="E133">
        <v>1</v>
      </c>
      <c r="F133">
        <v>24236</v>
      </c>
      <c r="G133">
        <v>3800.41</v>
      </c>
      <c r="H133" t="str">
        <f>TEXT(Orders[[#This Row],[Order_Date]],"mmmm")</f>
        <v>May</v>
      </c>
      <c r="I133">
        <f>YEAR(Orders[[#This Row],[Order_Date]])</f>
        <v>2024</v>
      </c>
      <c r="J133" t="str">
        <f>"Q"&amp;ROUNDUP(MONTH(Orders[[#This Row],[Order_Date]])/3,0)</f>
        <v>Q2</v>
      </c>
      <c r="K133" s="2">
        <f>(Orders[[#This Row],[Profit]]/Orders[[#This Row],[Sales]])*100</f>
        <v>15.680846674368706</v>
      </c>
    </row>
    <row r="134" spans="1:11" x14ac:dyDescent="0.3">
      <c r="A134" t="s">
        <v>378</v>
      </c>
      <c r="B134" s="1">
        <v>45486</v>
      </c>
      <c r="C134" t="s">
        <v>142</v>
      </c>
      <c r="D134" t="s">
        <v>266</v>
      </c>
      <c r="E134">
        <v>3</v>
      </c>
      <c r="F134">
        <v>33705</v>
      </c>
      <c r="G134">
        <v>8011.51</v>
      </c>
      <c r="H134" t="str">
        <f>TEXT(Orders[[#This Row],[Order_Date]],"mmmm")</f>
        <v>July</v>
      </c>
      <c r="I134">
        <f>YEAR(Orders[[#This Row],[Order_Date]])</f>
        <v>2024</v>
      </c>
      <c r="J134" t="str">
        <f>"Q"&amp;ROUNDUP(MONTH(Orders[[#This Row],[Order_Date]])/3,0)</f>
        <v>Q3</v>
      </c>
      <c r="K134" s="2">
        <f>(Orders[[#This Row],[Profit]]/Orders[[#This Row],[Sales]])*100</f>
        <v>23.769500074172971</v>
      </c>
    </row>
    <row r="135" spans="1:11" x14ac:dyDescent="0.3">
      <c r="A135" t="s">
        <v>379</v>
      </c>
      <c r="B135" s="1">
        <v>45560</v>
      </c>
      <c r="C135" t="s">
        <v>39</v>
      </c>
      <c r="D135" t="s">
        <v>245</v>
      </c>
      <c r="E135">
        <v>1</v>
      </c>
      <c r="F135">
        <v>24236</v>
      </c>
      <c r="G135">
        <v>2493.37</v>
      </c>
      <c r="H135" t="str">
        <f>TEXT(Orders[[#This Row],[Order_Date]],"mmmm")</f>
        <v>September</v>
      </c>
      <c r="I135">
        <f>YEAR(Orders[[#This Row],[Order_Date]])</f>
        <v>2024</v>
      </c>
      <c r="J135" t="str">
        <f>"Q"&amp;ROUNDUP(MONTH(Orders[[#This Row],[Order_Date]])/3,0)</f>
        <v>Q3</v>
      </c>
      <c r="K135" s="2">
        <f>(Orders[[#This Row],[Profit]]/Orders[[#This Row],[Sales]])*100</f>
        <v>10.287877537547448</v>
      </c>
    </row>
    <row r="136" spans="1:11" x14ac:dyDescent="0.3">
      <c r="A136" t="s">
        <v>380</v>
      </c>
      <c r="B136" s="1">
        <v>45651</v>
      </c>
      <c r="C136" t="s">
        <v>144</v>
      </c>
      <c r="D136" t="s">
        <v>245</v>
      </c>
      <c r="E136">
        <v>3</v>
      </c>
      <c r="F136">
        <v>72708</v>
      </c>
      <c r="G136">
        <v>15506.53</v>
      </c>
      <c r="H136" t="str">
        <f>TEXT(Orders[[#This Row],[Order_Date]],"mmmm")</f>
        <v>December</v>
      </c>
      <c r="I136">
        <f>YEAR(Orders[[#This Row],[Order_Date]])</f>
        <v>2024</v>
      </c>
      <c r="J136" t="str">
        <f>"Q"&amp;ROUNDUP(MONTH(Orders[[#This Row],[Order_Date]])/3,0)</f>
        <v>Q4</v>
      </c>
      <c r="K136" s="2">
        <f>(Orders[[#This Row],[Profit]]/Orders[[#This Row],[Sales]])*100</f>
        <v>21.327130439566485</v>
      </c>
    </row>
    <row r="137" spans="1:11" x14ac:dyDescent="0.3">
      <c r="A137" t="s">
        <v>381</v>
      </c>
      <c r="B137" s="1">
        <v>45621</v>
      </c>
      <c r="C137" t="s">
        <v>166</v>
      </c>
      <c r="D137" t="s">
        <v>233</v>
      </c>
      <c r="E137">
        <v>3</v>
      </c>
      <c r="F137">
        <v>167085</v>
      </c>
      <c r="G137">
        <v>41504.370000000003</v>
      </c>
      <c r="H137" t="str">
        <f>TEXT(Orders[[#This Row],[Order_Date]],"mmmm")</f>
        <v>November</v>
      </c>
      <c r="I137">
        <f>YEAR(Orders[[#This Row],[Order_Date]])</f>
        <v>2024</v>
      </c>
      <c r="J137" t="str">
        <f>"Q"&amp;ROUNDUP(MONTH(Orders[[#This Row],[Order_Date]])/3,0)</f>
        <v>Q4</v>
      </c>
      <c r="K137" s="2">
        <f>(Orders[[#This Row],[Profit]]/Orders[[#This Row],[Sales]])*100</f>
        <v>24.840272914983395</v>
      </c>
    </row>
    <row r="138" spans="1:11" x14ac:dyDescent="0.3">
      <c r="A138" t="s">
        <v>382</v>
      </c>
      <c r="B138" s="1">
        <v>45466</v>
      </c>
      <c r="C138" t="s">
        <v>114</v>
      </c>
      <c r="D138" t="s">
        <v>229</v>
      </c>
      <c r="E138">
        <v>3</v>
      </c>
      <c r="F138">
        <v>26619</v>
      </c>
      <c r="G138">
        <v>4231.8100000000004</v>
      </c>
      <c r="H138" t="str">
        <f>TEXT(Orders[[#This Row],[Order_Date]],"mmmm")</f>
        <v>June</v>
      </c>
      <c r="I138">
        <f>YEAR(Orders[[#This Row],[Order_Date]])</f>
        <v>2024</v>
      </c>
      <c r="J138" t="str">
        <f>"Q"&amp;ROUNDUP(MONTH(Orders[[#This Row],[Order_Date]])/3,0)</f>
        <v>Q2</v>
      </c>
      <c r="K138" s="2">
        <f>(Orders[[#This Row],[Profit]]/Orders[[#This Row],[Sales]])*100</f>
        <v>15.897704647056615</v>
      </c>
    </row>
    <row r="139" spans="1:11" x14ac:dyDescent="0.3">
      <c r="A139" t="s">
        <v>383</v>
      </c>
      <c r="B139" s="1">
        <v>45420</v>
      </c>
      <c r="C139" t="s">
        <v>156</v>
      </c>
      <c r="D139" t="s">
        <v>255</v>
      </c>
      <c r="E139">
        <v>2</v>
      </c>
      <c r="F139">
        <v>51216</v>
      </c>
      <c r="G139">
        <v>4350.3999999999996</v>
      </c>
      <c r="H139" t="str">
        <f>TEXT(Orders[[#This Row],[Order_Date]],"mmmm")</f>
        <v>May</v>
      </c>
      <c r="I139">
        <f>YEAR(Orders[[#This Row],[Order_Date]])</f>
        <v>2024</v>
      </c>
      <c r="J139" t="str">
        <f>"Q"&amp;ROUNDUP(MONTH(Orders[[#This Row],[Order_Date]])/3,0)</f>
        <v>Q2</v>
      </c>
      <c r="K139" s="2">
        <f>(Orders[[#This Row],[Profit]]/Orders[[#This Row],[Sales]])*100</f>
        <v>8.4942205560762254</v>
      </c>
    </row>
    <row r="140" spans="1:11" x14ac:dyDescent="0.3">
      <c r="A140" t="s">
        <v>384</v>
      </c>
      <c r="B140" s="1">
        <v>45349</v>
      </c>
      <c r="C140" t="s">
        <v>194</v>
      </c>
      <c r="D140" t="s">
        <v>227</v>
      </c>
      <c r="E140">
        <v>5</v>
      </c>
      <c r="F140">
        <v>46970</v>
      </c>
      <c r="G140">
        <v>4822.8500000000004</v>
      </c>
      <c r="H140" t="str">
        <f>TEXT(Orders[[#This Row],[Order_Date]],"mmmm")</f>
        <v>February</v>
      </c>
      <c r="I140">
        <f>YEAR(Orders[[#This Row],[Order_Date]])</f>
        <v>2024</v>
      </c>
      <c r="J140" t="str">
        <f>"Q"&amp;ROUNDUP(MONTH(Orders[[#This Row],[Order_Date]])/3,0)</f>
        <v>Q1</v>
      </c>
      <c r="K140" s="2">
        <f>(Orders[[#This Row],[Profit]]/Orders[[#This Row],[Sales]])*100</f>
        <v>10.267936981051735</v>
      </c>
    </row>
    <row r="141" spans="1:11" x14ac:dyDescent="0.3">
      <c r="A141" t="s">
        <v>385</v>
      </c>
      <c r="B141" s="1">
        <v>45342</v>
      </c>
      <c r="C141" t="s">
        <v>66</v>
      </c>
      <c r="D141" t="s">
        <v>283</v>
      </c>
      <c r="E141">
        <v>5</v>
      </c>
      <c r="F141">
        <v>270935</v>
      </c>
      <c r="G141">
        <v>23982.59</v>
      </c>
      <c r="H141" t="str">
        <f>TEXT(Orders[[#This Row],[Order_Date]],"mmmm")</f>
        <v>February</v>
      </c>
      <c r="I141">
        <f>YEAR(Orders[[#This Row],[Order_Date]])</f>
        <v>2024</v>
      </c>
      <c r="J141" t="str">
        <f>"Q"&amp;ROUNDUP(MONTH(Orders[[#This Row],[Order_Date]])/3,0)</f>
        <v>Q1</v>
      </c>
      <c r="K141" s="2">
        <f>(Orders[[#This Row],[Profit]]/Orders[[#This Row],[Sales]])*100</f>
        <v>8.851787329064166</v>
      </c>
    </row>
    <row r="142" spans="1:11" x14ac:dyDescent="0.3">
      <c r="A142" t="s">
        <v>386</v>
      </c>
      <c r="B142" s="1">
        <v>45326</v>
      </c>
      <c r="C142" t="s">
        <v>158</v>
      </c>
      <c r="D142" t="s">
        <v>231</v>
      </c>
      <c r="E142">
        <v>1</v>
      </c>
      <c r="F142">
        <v>54937</v>
      </c>
      <c r="G142">
        <v>6303.39</v>
      </c>
      <c r="H142" t="str">
        <f>TEXT(Orders[[#This Row],[Order_Date]],"mmmm")</f>
        <v>February</v>
      </c>
      <c r="I142">
        <f>YEAR(Orders[[#This Row],[Order_Date]])</f>
        <v>2024</v>
      </c>
      <c r="J142" t="str">
        <f>"Q"&amp;ROUNDUP(MONTH(Orders[[#This Row],[Order_Date]])/3,0)</f>
        <v>Q1</v>
      </c>
      <c r="K142" s="2">
        <f>(Orders[[#This Row],[Profit]]/Orders[[#This Row],[Sales]])*100</f>
        <v>11.473851866683656</v>
      </c>
    </row>
    <row r="143" spans="1:11" x14ac:dyDescent="0.3">
      <c r="A143" t="s">
        <v>387</v>
      </c>
      <c r="B143" s="1">
        <v>45329</v>
      </c>
      <c r="C143" t="s">
        <v>180</v>
      </c>
      <c r="D143" t="s">
        <v>245</v>
      </c>
      <c r="E143">
        <v>5</v>
      </c>
      <c r="F143">
        <v>121180</v>
      </c>
      <c r="G143">
        <v>22900.05</v>
      </c>
      <c r="H143" t="str">
        <f>TEXT(Orders[[#This Row],[Order_Date]],"mmmm")</f>
        <v>February</v>
      </c>
      <c r="I143">
        <f>YEAR(Orders[[#This Row],[Order_Date]])</f>
        <v>2024</v>
      </c>
      <c r="J143" t="str">
        <f>"Q"&amp;ROUNDUP(MONTH(Orders[[#This Row],[Order_Date]])/3,0)</f>
        <v>Q1</v>
      </c>
      <c r="K143" s="2">
        <f>(Orders[[#This Row],[Profit]]/Orders[[#This Row],[Sales]])*100</f>
        <v>18.897549100511636</v>
      </c>
    </row>
    <row r="144" spans="1:11" x14ac:dyDescent="0.3">
      <c r="A144" t="s">
        <v>388</v>
      </c>
      <c r="B144" s="1">
        <v>45303</v>
      </c>
      <c r="C144" t="s">
        <v>74</v>
      </c>
      <c r="D144" t="s">
        <v>257</v>
      </c>
      <c r="E144">
        <v>5</v>
      </c>
      <c r="F144">
        <v>33735</v>
      </c>
      <c r="G144">
        <v>7641.38</v>
      </c>
      <c r="H144" t="str">
        <f>TEXT(Orders[[#This Row],[Order_Date]],"mmmm")</f>
        <v>January</v>
      </c>
      <c r="I144">
        <f>YEAR(Orders[[#This Row],[Order_Date]])</f>
        <v>2024</v>
      </c>
      <c r="J144" t="str">
        <f>"Q"&amp;ROUNDUP(MONTH(Orders[[#This Row],[Order_Date]])/3,0)</f>
        <v>Q1</v>
      </c>
      <c r="K144" s="2">
        <f>(Orders[[#This Row],[Profit]]/Orders[[#This Row],[Sales]])*100</f>
        <v>22.651193122869422</v>
      </c>
    </row>
    <row r="145" spans="1:11" x14ac:dyDescent="0.3">
      <c r="A145" t="s">
        <v>389</v>
      </c>
      <c r="B145" s="1">
        <v>45437</v>
      </c>
      <c r="C145" t="s">
        <v>170</v>
      </c>
      <c r="D145" t="s">
        <v>253</v>
      </c>
      <c r="E145">
        <v>4</v>
      </c>
      <c r="F145">
        <v>24100</v>
      </c>
      <c r="G145">
        <v>4838.01</v>
      </c>
      <c r="H145" t="str">
        <f>TEXT(Orders[[#This Row],[Order_Date]],"mmmm")</f>
        <v>May</v>
      </c>
      <c r="I145">
        <f>YEAR(Orders[[#This Row],[Order_Date]])</f>
        <v>2024</v>
      </c>
      <c r="J145" t="str">
        <f>"Q"&amp;ROUNDUP(MONTH(Orders[[#This Row],[Order_Date]])/3,0)</f>
        <v>Q2</v>
      </c>
      <c r="K145" s="2">
        <f>(Orders[[#This Row],[Profit]]/Orders[[#This Row],[Sales]])*100</f>
        <v>20.074730290456433</v>
      </c>
    </row>
    <row r="146" spans="1:11" x14ac:dyDescent="0.3">
      <c r="A146" t="s">
        <v>390</v>
      </c>
      <c r="B146" s="1">
        <v>45412</v>
      </c>
      <c r="C146" t="s">
        <v>76</v>
      </c>
      <c r="D146" t="s">
        <v>263</v>
      </c>
      <c r="E146">
        <v>5</v>
      </c>
      <c r="F146">
        <v>35775</v>
      </c>
      <c r="G146">
        <v>5864.05</v>
      </c>
      <c r="H146" t="str">
        <f>TEXT(Orders[[#This Row],[Order_Date]],"mmmm")</f>
        <v>April</v>
      </c>
      <c r="I146">
        <f>YEAR(Orders[[#This Row],[Order_Date]])</f>
        <v>2024</v>
      </c>
      <c r="J146" t="str">
        <f>"Q"&amp;ROUNDUP(MONTH(Orders[[#This Row],[Order_Date]])/3,0)</f>
        <v>Q2</v>
      </c>
      <c r="K146" s="2">
        <f>(Orders[[#This Row],[Profit]]/Orders[[#This Row],[Sales]])*100</f>
        <v>16.391474493361287</v>
      </c>
    </row>
    <row r="147" spans="1:11" x14ac:dyDescent="0.3">
      <c r="A147" t="s">
        <v>391</v>
      </c>
      <c r="B147" s="1">
        <v>45388</v>
      </c>
      <c r="C147" t="s">
        <v>128</v>
      </c>
      <c r="D147" t="s">
        <v>266</v>
      </c>
      <c r="E147">
        <v>3</v>
      </c>
      <c r="F147">
        <v>33705</v>
      </c>
      <c r="G147">
        <v>5816.17</v>
      </c>
      <c r="H147" t="str">
        <f>TEXT(Orders[[#This Row],[Order_Date]],"mmmm")</f>
        <v>April</v>
      </c>
      <c r="I147">
        <f>YEAR(Orders[[#This Row],[Order_Date]])</f>
        <v>2024</v>
      </c>
      <c r="J147" t="str">
        <f>"Q"&amp;ROUNDUP(MONTH(Orders[[#This Row],[Order_Date]])/3,0)</f>
        <v>Q2</v>
      </c>
      <c r="K147" s="2">
        <f>(Orders[[#This Row],[Profit]]/Orders[[#This Row],[Sales]])*100</f>
        <v>17.256104435543687</v>
      </c>
    </row>
    <row r="148" spans="1:11" x14ac:dyDescent="0.3">
      <c r="A148" t="s">
        <v>392</v>
      </c>
      <c r="B148" s="1">
        <v>45296</v>
      </c>
      <c r="C148" t="s">
        <v>142</v>
      </c>
      <c r="D148" t="s">
        <v>237</v>
      </c>
      <c r="E148">
        <v>3</v>
      </c>
      <c r="F148">
        <v>25878</v>
      </c>
      <c r="G148">
        <v>3862.1</v>
      </c>
      <c r="H148" t="str">
        <f>TEXT(Orders[[#This Row],[Order_Date]],"mmmm")</f>
        <v>January</v>
      </c>
      <c r="I148">
        <f>YEAR(Orders[[#This Row],[Order_Date]])</f>
        <v>2024</v>
      </c>
      <c r="J148" t="str">
        <f>"Q"&amp;ROUNDUP(MONTH(Orders[[#This Row],[Order_Date]])/3,0)</f>
        <v>Q1</v>
      </c>
      <c r="K148" s="2">
        <f>(Orders[[#This Row],[Profit]]/Orders[[#This Row],[Sales]])*100</f>
        <v>14.924259989179998</v>
      </c>
    </row>
    <row r="149" spans="1:11" x14ac:dyDescent="0.3">
      <c r="A149" t="s">
        <v>393</v>
      </c>
      <c r="B149" s="1">
        <v>45541</v>
      </c>
      <c r="C149" t="s">
        <v>210</v>
      </c>
      <c r="D149" t="s">
        <v>241</v>
      </c>
      <c r="E149">
        <v>4</v>
      </c>
      <c r="F149">
        <v>33448</v>
      </c>
      <c r="G149">
        <v>5600.14</v>
      </c>
      <c r="H149" t="str">
        <f>TEXT(Orders[[#This Row],[Order_Date]],"mmmm")</f>
        <v>September</v>
      </c>
      <c r="I149">
        <f>YEAR(Orders[[#This Row],[Order_Date]])</f>
        <v>2024</v>
      </c>
      <c r="J149" t="str">
        <f>"Q"&amp;ROUNDUP(MONTH(Orders[[#This Row],[Order_Date]])/3,0)</f>
        <v>Q3</v>
      </c>
      <c r="K149" s="2">
        <f>(Orders[[#This Row],[Profit]]/Orders[[#This Row],[Sales]])*100</f>
        <v>16.74282468309017</v>
      </c>
    </row>
    <row r="150" spans="1:11" x14ac:dyDescent="0.3">
      <c r="A150" t="s">
        <v>394</v>
      </c>
      <c r="B150" s="1">
        <v>45588</v>
      </c>
      <c r="C150" t="s">
        <v>37</v>
      </c>
      <c r="D150" t="s">
        <v>229</v>
      </c>
      <c r="E150">
        <v>5</v>
      </c>
      <c r="F150">
        <v>44365</v>
      </c>
      <c r="G150">
        <v>10206.540000000001</v>
      </c>
      <c r="H150" t="str">
        <f>TEXT(Orders[[#This Row],[Order_Date]],"mmmm")</f>
        <v>October</v>
      </c>
      <c r="I150">
        <f>YEAR(Orders[[#This Row],[Order_Date]])</f>
        <v>2024</v>
      </c>
      <c r="J150" t="str">
        <f>"Q"&amp;ROUNDUP(MONTH(Orders[[#This Row],[Order_Date]])/3,0)</f>
        <v>Q4</v>
      </c>
      <c r="K150" s="2">
        <f>(Orders[[#This Row],[Profit]]/Orders[[#This Row],[Sales]])*100</f>
        <v>23.005837935309366</v>
      </c>
    </row>
    <row r="151" spans="1:11" x14ac:dyDescent="0.3">
      <c r="A151" t="s">
        <v>395</v>
      </c>
      <c r="B151" s="1">
        <v>45526</v>
      </c>
      <c r="C151" t="s">
        <v>168</v>
      </c>
      <c r="D151" t="s">
        <v>283</v>
      </c>
      <c r="E151">
        <v>1</v>
      </c>
      <c r="F151">
        <v>54187</v>
      </c>
      <c r="G151">
        <v>7575.91</v>
      </c>
      <c r="H151" t="str">
        <f>TEXT(Orders[[#This Row],[Order_Date]],"mmmm")</f>
        <v>August</v>
      </c>
      <c r="I151">
        <f>YEAR(Orders[[#This Row],[Order_Date]])</f>
        <v>2024</v>
      </c>
      <c r="J151" t="str">
        <f>"Q"&amp;ROUNDUP(MONTH(Orders[[#This Row],[Order_Date]])/3,0)</f>
        <v>Q3</v>
      </c>
      <c r="K151" s="2">
        <f>(Orders[[#This Row],[Profit]]/Orders[[#This Row],[Sales]])*100</f>
        <v>13.981047114621589</v>
      </c>
    </row>
    <row r="152" spans="1:11" x14ac:dyDescent="0.3">
      <c r="A152" t="s">
        <v>396</v>
      </c>
      <c r="B152" s="1">
        <v>45620</v>
      </c>
      <c r="C152" t="s">
        <v>7</v>
      </c>
      <c r="D152" t="s">
        <v>263</v>
      </c>
      <c r="E152">
        <v>3</v>
      </c>
      <c r="F152">
        <v>21465</v>
      </c>
      <c r="G152">
        <v>4256.92</v>
      </c>
      <c r="H152" t="str">
        <f>TEXT(Orders[[#This Row],[Order_Date]],"mmmm")</f>
        <v>November</v>
      </c>
      <c r="I152">
        <f>YEAR(Orders[[#This Row],[Order_Date]])</f>
        <v>2024</v>
      </c>
      <c r="J152" t="str">
        <f>"Q"&amp;ROUNDUP(MONTH(Orders[[#This Row],[Order_Date]])/3,0)</f>
        <v>Q4</v>
      </c>
      <c r="K152" s="2">
        <f>(Orders[[#This Row],[Profit]]/Orders[[#This Row],[Sales]])*100</f>
        <v>19.831912415560215</v>
      </c>
    </row>
    <row r="153" spans="1:11" x14ac:dyDescent="0.3">
      <c r="A153" t="s">
        <v>397</v>
      </c>
      <c r="B153" s="1">
        <v>45554</v>
      </c>
      <c r="C153" t="s">
        <v>7</v>
      </c>
      <c r="D153" t="s">
        <v>241</v>
      </c>
      <c r="E153">
        <v>1</v>
      </c>
      <c r="F153">
        <v>8362</v>
      </c>
      <c r="G153">
        <v>1837.27</v>
      </c>
      <c r="H153" t="str">
        <f>TEXT(Orders[[#This Row],[Order_Date]],"mmmm")</f>
        <v>September</v>
      </c>
      <c r="I153">
        <f>YEAR(Orders[[#This Row],[Order_Date]])</f>
        <v>2024</v>
      </c>
      <c r="J153" t="str">
        <f>"Q"&amp;ROUNDUP(MONTH(Orders[[#This Row],[Order_Date]])/3,0)</f>
        <v>Q3</v>
      </c>
      <c r="K153" s="2">
        <f>(Orders[[#This Row],[Profit]]/Orders[[#This Row],[Sales]])*100</f>
        <v>21.97165749820617</v>
      </c>
    </row>
    <row r="154" spans="1:11" x14ac:dyDescent="0.3">
      <c r="A154" t="s">
        <v>398</v>
      </c>
      <c r="B154" s="1">
        <v>45574</v>
      </c>
      <c r="C154" t="s">
        <v>210</v>
      </c>
      <c r="D154" t="s">
        <v>233</v>
      </c>
      <c r="E154">
        <v>5</v>
      </c>
      <c r="F154">
        <v>278475</v>
      </c>
      <c r="G154">
        <v>52815.05</v>
      </c>
      <c r="H154" t="str">
        <f>TEXT(Orders[[#This Row],[Order_Date]],"mmmm")</f>
        <v>October</v>
      </c>
      <c r="I154">
        <f>YEAR(Orders[[#This Row],[Order_Date]])</f>
        <v>2024</v>
      </c>
      <c r="J154" t="str">
        <f>"Q"&amp;ROUNDUP(MONTH(Orders[[#This Row],[Order_Date]])/3,0)</f>
        <v>Q4</v>
      </c>
      <c r="K154" s="2">
        <f>(Orders[[#This Row],[Profit]]/Orders[[#This Row],[Sales]])*100</f>
        <v>18.965813807343569</v>
      </c>
    </row>
    <row r="155" spans="1:11" x14ac:dyDescent="0.3">
      <c r="A155" t="s">
        <v>399</v>
      </c>
      <c r="B155" s="1">
        <v>45557</v>
      </c>
      <c r="C155" t="s">
        <v>92</v>
      </c>
      <c r="D155" t="s">
        <v>255</v>
      </c>
      <c r="E155">
        <v>4</v>
      </c>
      <c r="F155">
        <v>102432</v>
      </c>
      <c r="G155">
        <v>17633.349999999999</v>
      </c>
      <c r="H155" t="str">
        <f>TEXT(Orders[[#This Row],[Order_Date]],"mmmm")</f>
        <v>September</v>
      </c>
      <c r="I155">
        <f>YEAR(Orders[[#This Row],[Order_Date]])</f>
        <v>2024</v>
      </c>
      <c r="J155" t="str">
        <f>"Q"&amp;ROUNDUP(MONTH(Orders[[#This Row],[Order_Date]])/3,0)</f>
        <v>Q3</v>
      </c>
      <c r="K155" s="2">
        <f>(Orders[[#This Row],[Profit]]/Orders[[#This Row],[Sales]])*100</f>
        <v>17.214688769134646</v>
      </c>
    </row>
    <row r="156" spans="1:11" x14ac:dyDescent="0.3">
      <c r="A156" t="s">
        <v>400</v>
      </c>
      <c r="B156" s="1">
        <v>45446</v>
      </c>
      <c r="C156" t="s">
        <v>124</v>
      </c>
      <c r="D156" t="s">
        <v>235</v>
      </c>
      <c r="E156">
        <v>5</v>
      </c>
      <c r="F156">
        <v>56710</v>
      </c>
      <c r="G156">
        <v>7503.82</v>
      </c>
      <c r="H156" t="str">
        <f>TEXT(Orders[[#This Row],[Order_Date]],"mmmm")</f>
        <v>June</v>
      </c>
      <c r="I156">
        <f>YEAR(Orders[[#This Row],[Order_Date]])</f>
        <v>2024</v>
      </c>
      <c r="J156" t="str">
        <f>"Q"&amp;ROUNDUP(MONTH(Orders[[#This Row],[Order_Date]])/3,0)</f>
        <v>Q2</v>
      </c>
      <c r="K156" s="2">
        <f>(Orders[[#This Row],[Profit]]/Orders[[#This Row],[Sales]])*100</f>
        <v>13.231916769529183</v>
      </c>
    </row>
    <row r="157" spans="1:11" x14ac:dyDescent="0.3">
      <c r="A157" t="s">
        <v>401</v>
      </c>
      <c r="B157" s="1">
        <v>45573</v>
      </c>
      <c r="C157" t="s">
        <v>51</v>
      </c>
      <c r="D157" t="s">
        <v>255</v>
      </c>
      <c r="E157">
        <v>4</v>
      </c>
      <c r="F157">
        <v>102432</v>
      </c>
      <c r="G157">
        <v>18403.5</v>
      </c>
      <c r="H157" t="str">
        <f>TEXT(Orders[[#This Row],[Order_Date]],"mmmm")</f>
        <v>October</v>
      </c>
      <c r="I157">
        <f>YEAR(Orders[[#This Row],[Order_Date]])</f>
        <v>2024</v>
      </c>
      <c r="J157" t="str">
        <f>"Q"&amp;ROUNDUP(MONTH(Orders[[#This Row],[Order_Date]])/3,0)</f>
        <v>Q4</v>
      </c>
      <c r="K157" s="2">
        <f>(Orders[[#This Row],[Profit]]/Orders[[#This Row],[Sales]])*100</f>
        <v>17.966553420805997</v>
      </c>
    </row>
    <row r="158" spans="1:11" x14ac:dyDescent="0.3">
      <c r="A158" t="s">
        <v>402</v>
      </c>
      <c r="B158" s="1">
        <v>45509</v>
      </c>
      <c r="C158" t="s">
        <v>216</v>
      </c>
      <c r="D158" t="s">
        <v>257</v>
      </c>
      <c r="E158">
        <v>3</v>
      </c>
      <c r="F158">
        <v>20241</v>
      </c>
      <c r="G158">
        <v>3810.02</v>
      </c>
      <c r="H158" t="str">
        <f>TEXT(Orders[[#This Row],[Order_Date]],"mmmm")</f>
        <v>August</v>
      </c>
      <c r="I158">
        <f>YEAR(Orders[[#This Row],[Order_Date]])</f>
        <v>2024</v>
      </c>
      <c r="J158" t="str">
        <f>"Q"&amp;ROUNDUP(MONTH(Orders[[#This Row],[Order_Date]])/3,0)</f>
        <v>Q3</v>
      </c>
      <c r="K158" s="2">
        <f>(Orders[[#This Row],[Profit]]/Orders[[#This Row],[Sales]])*100</f>
        <v>18.82327948223902</v>
      </c>
    </row>
    <row r="159" spans="1:11" x14ac:dyDescent="0.3">
      <c r="A159" t="s">
        <v>403</v>
      </c>
      <c r="B159" s="1">
        <v>45497</v>
      </c>
      <c r="C159" t="s">
        <v>208</v>
      </c>
      <c r="D159" t="s">
        <v>245</v>
      </c>
      <c r="E159">
        <v>1</v>
      </c>
      <c r="F159">
        <v>24236</v>
      </c>
      <c r="G159">
        <v>3456.58</v>
      </c>
      <c r="H159" t="str">
        <f>TEXT(Orders[[#This Row],[Order_Date]],"mmmm")</f>
        <v>July</v>
      </c>
      <c r="I159">
        <f>YEAR(Orders[[#This Row],[Order_Date]])</f>
        <v>2024</v>
      </c>
      <c r="J159" t="str">
        <f>"Q"&amp;ROUNDUP(MONTH(Orders[[#This Row],[Order_Date]])/3,0)</f>
        <v>Q3</v>
      </c>
      <c r="K159" s="2">
        <f>(Orders[[#This Row],[Profit]]/Orders[[#This Row],[Sales]])*100</f>
        <v>14.262171975573526</v>
      </c>
    </row>
    <row r="160" spans="1:11" x14ac:dyDescent="0.3">
      <c r="A160" t="s">
        <v>404</v>
      </c>
      <c r="B160" s="1">
        <v>45294</v>
      </c>
      <c r="C160" t="s">
        <v>92</v>
      </c>
      <c r="D160" t="s">
        <v>344</v>
      </c>
      <c r="E160">
        <v>1</v>
      </c>
      <c r="F160">
        <v>9101</v>
      </c>
      <c r="G160">
        <v>2159.4699999999998</v>
      </c>
      <c r="H160" t="str">
        <f>TEXT(Orders[[#This Row],[Order_Date]],"mmmm")</f>
        <v>January</v>
      </c>
      <c r="I160">
        <f>YEAR(Orders[[#This Row],[Order_Date]])</f>
        <v>2024</v>
      </c>
      <c r="J160" t="str">
        <f>"Q"&amp;ROUNDUP(MONTH(Orders[[#This Row],[Order_Date]])/3,0)</f>
        <v>Q1</v>
      </c>
      <c r="K160" s="2">
        <f>(Orders[[#This Row],[Profit]]/Orders[[#This Row],[Sales]])*100</f>
        <v>23.727832106361937</v>
      </c>
    </row>
    <row r="161" spans="1:11" x14ac:dyDescent="0.3">
      <c r="A161" t="s">
        <v>405</v>
      </c>
      <c r="B161" s="1">
        <v>45482</v>
      </c>
      <c r="C161" t="s">
        <v>118</v>
      </c>
      <c r="D161" t="s">
        <v>231</v>
      </c>
      <c r="E161">
        <v>4</v>
      </c>
      <c r="F161">
        <v>219748</v>
      </c>
      <c r="G161">
        <v>27739.4</v>
      </c>
      <c r="H161" t="str">
        <f>TEXT(Orders[[#This Row],[Order_Date]],"mmmm")</f>
        <v>July</v>
      </c>
      <c r="I161">
        <f>YEAR(Orders[[#This Row],[Order_Date]])</f>
        <v>2024</v>
      </c>
      <c r="J161" t="str">
        <f>"Q"&amp;ROUNDUP(MONTH(Orders[[#This Row],[Order_Date]])/3,0)</f>
        <v>Q3</v>
      </c>
      <c r="K161" s="2">
        <f>(Orders[[#This Row],[Profit]]/Orders[[#This Row],[Sales]])*100</f>
        <v>12.623277572492128</v>
      </c>
    </row>
    <row r="162" spans="1:11" x14ac:dyDescent="0.3">
      <c r="A162" t="s">
        <v>406</v>
      </c>
      <c r="B162" s="1">
        <v>45351</v>
      </c>
      <c r="C162" t="s">
        <v>182</v>
      </c>
      <c r="D162" t="s">
        <v>316</v>
      </c>
      <c r="E162">
        <v>3</v>
      </c>
      <c r="F162">
        <v>163152</v>
      </c>
      <c r="G162">
        <v>23826.39</v>
      </c>
      <c r="H162" t="str">
        <f>TEXT(Orders[[#This Row],[Order_Date]],"mmmm")</f>
        <v>February</v>
      </c>
      <c r="I162">
        <f>YEAR(Orders[[#This Row],[Order_Date]])</f>
        <v>2024</v>
      </c>
      <c r="J162" t="str">
        <f>"Q"&amp;ROUNDUP(MONTH(Orders[[#This Row],[Order_Date]])/3,0)</f>
        <v>Q1</v>
      </c>
      <c r="K162" s="2">
        <f>(Orders[[#This Row],[Profit]]/Orders[[#This Row],[Sales]])*100</f>
        <v>14.603798911444542</v>
      </c>
    </row>
    <row r="163" spans="1:11" x14ac:dyDescent="0.3">
      <c r="A163" t="s">
        <v>407</v>
      </c>
      <c r="B163" s="1">
        <v>45301</v>
      </c>
      <c r="C163" t="s">
        <v>142</v>
      </c>
      <c r="D163" t="s">
        <v>253</v>
      </c>
      <c r="E163">
        <v>2</v>
      </c>
      <c r="F163">
        <v>12050</v>
      </c>
      <c r="G163">
        <v>1814.53</v>
      </c>
      <c r="H163" t="str">
        <f>TEXT(Orders[[#This Row],[Order_Date]],"mmmm")</f>
        <v>January</v>
      </c>
      <c r="I163">
        <f>YEAR(Orders[[#This Row],[Order_Date]])</f>
        <v>2024</v>
      </c>
      <c r="J163" t="str">
        <f>"Q"&amp;ROUNDUP(MONTH(Orders[[#This Row],[Order_Date]])/3,0)</f>
        <v>Q1</v>
      </c>
      <c r="K163" s="2">
        <f>(Orders[[#This Row],[Profit]]/Orders[[#This Row],[Sales]])*100</f>
        <v>15.058340248962656</v>
      </c>
    </row>
    <row r="164" spans="1:11" x14ac:dyDescent="0.3">
      <c r="A164" t="s">
        <v>408</v>
      </c>
      <c r="B164" s="1">
        <v>45593</v>
      </c>
      <c r="C164" t="s">
        <v>64</v>
      </c>
      <c r="D164" t="s">
        <v>231</v>
      </c>
      <c r="E164">
        <v>3</v>
      </c>
      <c r="F164">
        <v>164811</v>
      </c>
      <c r="G164">
        <v>37220.959999999999</v>
      </c>
      <c r="H164" t="str">
        <f>TEXT(Orders[[#This Row],[Order_Date]],"mmmm")</f>
        <v>October</v>
      </c>
      <c r="I164">
        <f>YEAR(Orders[[#This Row],[Order_Date]])</f>
        <v>2024</v>
      </c>
      <c r="J164" t="str">
        <f>"Q"&amp;ROUNDUP(MONTH(Orders[[#This Row],[Order_Date]])/3,0)</f>
        <v>Q4</v>
      </c>
      <c r="K164" s="2">
        <f>(Orders[[#This Row],[Profit]]/Orders[[#This Row],[Sales]])*100</f>
        <v>22.584026551625801</v>
      </c>
    </row>
    <row r="165" spans="1:11" x14ac:dyDescent="0.3">
      <c r="A165" t="s">
        <v>409</v>
      </c>
      <c r="B165" s="1">
        <v>45439</v>
      </c>
      <c r="C165" t="s">
        <v>92</v>
      </c>
      <c r="D165" t="s">
        <v>283</v>
      </c>
      <c r="E165">
        <v>3</v>
      </c>
      <c r="F165">
        <v>162561</v>
      </c>
      <c r="G165">
        <v>38956</v>
      </c>
      <c r="H165" t="str">
        <f>TEXT(Orders[[#This Row],[Order_Date]],"mmmm")</f>
        <v>May</v>
      </c>
      <c r="I165">
        <f>YEAR(Orders[[#This Row],[Order_Date]])</f>
        <v>2024</v>
      </c>
      <c r="J165" t="str">
        <f>"Q"&amp;ROUNDUP(MONTH(Orders[[#This Row],[Order_Date]])/3,0)</f>
        <v>Q2</v>
      </c>
      <c r="K165" s="2">
        <f>(Orders[[#This Row],[Profit]]/Orders[[#This Row],[Sales]])*100</f>
        <v>23.963927387257705</v>
      </c>
    </row>
    <row r="166" spans="1:11" x14ac:dyDescent="0.3">
      <c r="A166" t="s">
        <v>410</v>
      </c>
      <c r="B166" s="1">
        <v>45540</v>
      </c>
      <c r="C166" t="s">
        <v>208</v>
      </c>
      <c r="D166" t="s">
        <v>283</v>
      </c>
      <c r="E166">
        <v>3</v>
      </c>
      <c r="F166">
        <v>162561</v>
      </c>
      <c r="G166">
        <v>24984.89</v>
      </c>
      <c r="H166" t="str">
        <f>TEXT(Orders[[#This Row],[Order_Date]],"mmmm")</f>
        <v>September</v>
      </c>
      <c r="I166">
        <f>YEAR(Orders[[#This Row],[Order_Date]])</f>
        <v>2024</v>
      </c>
      <c r="J166" t="str">
        <f>"Q"&amp;ROUNDUP(MONTH(Orders[[#This Row],[Order_Date]])/3,0)</f>
        <v>Q3</v>
      </c>
      <c r="K166" s="2">
        <f>(Orders[[#This Row],[Profit]]/Orders[[#This Row],[Sales]])*100</f>
        <v>15.369547431425742</v>
      </c>
    </row>
    <row r="167" spans="1:11" x14ac:dyDescent="0.3">
      <c r="A167" t="s">
        <v>411</v>
      </c>
      <c r="B167" s="1">
        <v>45338</v>
      </c>
      <c r="C167" t="s">
        <v>74</v>
      </c>
      <c r="D167" t="s">
        <v>316</v>
      </c>
      <c r="E167">
        <v>4</v>
      </c>
      <c r="F167">
        <v>217536</v>
      </c>
      <c r="G167">
        <v>43888.02</v>
      </c>
      <c r="H167" t="str">
        <f>TEXT(Orders[[#This Row],[Order_Date]],"mmmm")</f>
        <v>February</v>
      </c>
      <c r="I167">
        <f>YEAR(Orders[[#This Row],[Order_Date]])</f>
        <v>2024</v>
      </c>
      <c r="J167" t="str">
        <f>"Q"&amp;ROUNDUP(MONTH(Orders[[#This Row],[Order_Date]])/3,0)</f>
        <v>Q1</v>
      </c>
      <c r="K167" s="2">
        <f>(Orders[[#This Row],[Profit]]/Orders[[#This Row],[Sales]])*100</f>
        <v>20.175060679611647</v>
      </c>
    </row>
    <row r="168" spans="1:11" x14ac:dyDescent="0.3">
      <c r="A168" t="s">
        <v>412</v>
      </c>
      <c r="B168" s="1">
        <v>45409</v>
      </c>
      <c r="C168" t="s">
        <v>33</v>
      </c>
      <c r="D168" t="s">
        <v>260</v>
      </c>
      <c r="E168">
        <v>2</v>
      </c>
      <c r="F168">
        <v>111900</v>
      </c>
      <c r="G168">
        <v>27338.01</v>
      </c>
      <c r="H168" t="str">
        <f>TEXT(Orders[[#This Row],[Order_Date]],"mmmm")</f>
        <v>April</v>
      </c>
      <c r="I168">
        <f>YEAR(Orders[[#This Row],[Order_Date]])</f>
        <v>2024</v>
      </c>
      <c r="J168" t="str">
        <f>"Q"&amp;ROUNDUP(MONTH(Orders[[#This Row],[Order_Date]])/3,0)</f>
        <v>Q2</v>
      </c>
      <c r="K168" s="2">
        <f>(Orders[[#This Row],[Profit]]/Orders[[#This Row],[Sales]])*100</f>
        <v>24.430750670241284</v>
      </c>
    </row>
    <row r="169" spans="1:11" x14ac:dyDescent="0.3">
      <c r="A169" t="s">
        <v>413</v>
      </c>
      <c r="B169" s="1">
        <v>45537</v>
      </c>
      <c r="C169" t="s">
        <v>206</v>
      </c>
      <c r="D169" t="s">
        <v>344</v>
      </c>
      <c r="E169">
        <v>1</v>
      </c>
      <c r="F169">
        <v>9101</v>
      </c>
      <c r="G169">
        <v>1119.8599999999999</v>
      </c>
      <c r="H169" t="str">
        <f>TEXT(Orders[[#This Row],[Order_Date]],"mmmm")</f>
        <v>September</v>
      </c>
      <c r="I169">
        <f>YEAR(Orders[[#This Row],[Order_Date]])</f>
        <v>2024</v>
      </c>
      <c r="J169" t="str">
        <f>"Q"&amp;ROUNDUP(MONTH(Orders[[#This Row],[Order_Date]])/3,0)</f>
        <v>Q3</v>
      </c>
      <c r="K169" s="2">
        <f>(Orders[[#This Row],[Profit]]/Orders[[#This Row],[Sales]])*100</f>
        <v>12.304801670146137</v>
      </c>
    </row>
    <row r="170" spans="1:11" x14ac:dyDescent="0.3">
      <c r="A170" t="s">
        <v>414</v>
      </c>
      <c r="B170" s="1">
        <v>45387</v>
      </c>
      <c r="C170" t="s">
        <v>218</v>
      </c>
      <c r="D170" t="s">
        <v>239</v>
      </c>
      <c r="E170">
        <v>4</v>
      </c>
      <c r="F170">
        <v>100636</v>
      </c>
      <c r="G170">
        <v>19165.349999999999</v>
      </c>
      <c r="H170" t="str">
        <f>TEXT(Orders[[#This Row],[Order_Date]],"mmmm")</f>
        <v>April</v>
      </c>
      <c r="I170">
        <f>YEAR(Orders[[#This Row],[Order_Date]])</f>
        <v>2024</v>
      </c>
      <c r="J170" t="str">
        <f>"Q"&amp;ROUNDUP(MONTH(Orders[[#This Row],[Order_Date]])/3,0)</f>
        <v>Q2</v>
      </c>
      <c r="K170" s="2">
        <f>(Orders[[#This Row],[Profit]]/Orders[[#This Row],[Sales]])*100</f>
        <v>19.04422870543344</v>
      </c>
    </row>
    <row r="171" spans="1:11" x14ac:dyDescent="0.3">
      <c r="A171" t="s">
        <v>415</v>
      </c>
      <c r="B171" s="1">
        <v>45318</v>
      </c>
      <c r="C171" t="s">
        <v>7</v>
      </c>
      <c r="D171" t="s">
        <v>237</v>
      </c>
      <c r="E171">
        <v>4</v>
      </c>
      <c r="F171">
        <v>34504</v>
      </c>
      <c r="G171">
        <v>6349.48</v>
      </c>
      <c r="H171" t="str">
        <f>TEXT(Orders[[#This Row],[Order_Date]],"mmmm")</f>
        <v>January</v>
      </c>
      <c r="I171">
        <f>YEAR(Orders[[#This Row],[Order_Date]])</f>
        <v>2024</v>
      </c>
      <c r="J171" t="str">
        <f>"Q"&amp;ROUNDUP(MONTH(Orders[[#This Row],[Order_Date]])/3,0)</f>
        <v>Q1</v>
      </c>
      <c r="K171" s="2">
        <f>(Orders[[#This Row],[Profit]]/Orders[[#This Row],[Sales]])*100</f>
        <v>18.402156271736608</v>
      </c>
    </row>
    <row r="172" spans="1:11" x14ac:dyDescent="0.3">
      <c r="A172" t="s">
        <v>416</v>
      </c>
      <c r="B172" s="1">
        <v>45316</v>
      </c>
      <c r="C172" t="s">
        <v>160</v>
      </c>
      <c r="D172" t="s">
        <v>263</v>
      </c>
      <c r="E172">
        <v>5</v>
      </c>
      <c r="F172">
        <v>35775</v>
      </c>
      <c r="G172">
        <v>5427.76</v>
      </c>
      <c r="H172" t="str">
        <f>TEXT(Orders[[#This Row],[Order_Date]],"mmmm")</f>
        <v>January</v>
      </c>
      <c r="I172">
        <f>YEAR(Orders[[#This Row],[Order_Date]])</f>
        <v>2024</v>
      </c>
      <c r="J172" t="str">
        <f>"Q"&amp;ROUNDUP(MONTH(Orders[[#This Row],[Order_Date]])/3,0)</f>
        <v>Q1</v>
      </c>
      <c r="K172" s="2">
        <f>(Orders[[#This Row],[Profit]]/Orders[[#This Row],[Sales]])*100</f>
        <v>15.171935709294202</v>
      </c>
    </row>
    <row r="173" spans="1:11" x14ac:dyDescent="0.3">
      <c r="A173" t="s">
        <v>417</v>
      </c>
      <c r="B173" s="1">
        <v>45635</v>
      </c>
      <c r="C173" t="s">
        <v>186</v>
      </c>
      <c r="D173" t="s">
        <v>239</v>
      </c>
      <c r="E173">
        <v>5</v>
      </c>
      <c r="F173">
        <v>125795</v>
      </c>
      <c r="G173">
        <v>24585.57</v>
      </c>
      <c r="H173" t="str">
        <f>TEXT(Orders[[#This Row],[Order_Date]],"mmmm")</f>
        <v>December</v>
      </c>
      <c r="I173">
        <f>YEAR(Orders[[#This Row],[Order_Date]])</f>
        <v>2024</v>
      </c>
      <c r="J173" t="str">
        <f>"Q"&amp;ROUNDUP(MONTH(Orders[[#This Row],[Order_Date]])/3,0)</f>
        <v>Q4</v>
      </c>
      <c r="K173" s="2">
        <f>(Orders[[#This Row],[Profit]]/Orders[[#This Row],[Sales]])*100</f>
        <v>19.544155173099089</v>
      </c>
    </row>
    <row r="174" spans="1:11" x14ac:dyDescent="0.3">
      <c r="A174" t="s">
        <v>418</v>
      </c>
      <c r="B174" s="1">
        <v>45383</v>
      </c>
      <c r="C174" t="s">
        <v>208</v>
      </c>
      <c r="D174" t="s">
        <v>239</v>
      </c>
      <c r="E174">
        <v>3</v>
      </c>
      <c r="F174">
        <v>75477</v>
      </c>
      <c r="G174">
        <v>14821.74</v>
      </c>
      <c r="H174" t="str">
        <f>TEXT(Orders[[#This Row],[Order_Date]],"mmmm")</f>
        <v>April</v>
      </c>
      <c r="I174">
        <f>YEAR(Orders[[#This Row],[Order_Date]])</f>
        <v>2024</v>
      </c>
      <c r="J174" t="str">
        <f>"Q"&amp;ROUNDUP(MONTH(Orders[[#This Row],[Order_Date]])/3,0)</f>
        <v>Q2</v>
      </c>
      <c r="K174" s="2">
        <f>(Orders[[#This Row],[Profit]]/Orders[[#This Row],[Sales]])*100</f>
        <v>19.63742597082555</v>
      </c>
    </row>
    <row r="175" spans="1:11" x14ac:dyDescent="0.3">
      <c r="A175" t="s">
        <v>419</v>
      </c>
      <c r="B175" s="1">
        <v>45336</v>
      </c>
      <c r="C175" t="s">
        <v>142</v>
      </c>
      <c r="D175" t="s">
        <v>247</v>
      </c>
      <c r="E175">
        <v>2</v>
      </c>
      <c r="F175">
        <v>22312</v>
      </c>
      <c r="G175">
        <v>4352.12</v>
      </c>
      <c r="H175" t="str">
        <f>TEXT(Orders[[#This Row],[Order_Date]],"mmmm")</f>
        <v>February</v>
      </c>
      <c r="I175">
        <f>YEAR(Orders[[#This Row],[Order_Date]])</f>
        <v>2024</v>
      </c>
      <c r="J175" t="str">
        <f>"Q"&amp;ROUNDUP(MONTH(Orders[[#This Row],[Order_Date]])/3,0)</f>
        <v>Q1</v>
      </c>
      <c r="K175" s="2">
        <f>(Orders[[#This Row],[Profit]]/Orders[[#This Row],[Sales]])*100</f>
        <v>19.505736823234134</v>
      </c>
    </row>
    <row r="176" spans="1:11" x14ac:dyDescent="0.3">
      <c r="A176" t="s">
        <v>420</v>
      </c>
      <c r="B176" s="1">
        <v>45552</v>
      </c>
      <c r="C176" t="s">
        <v>118</v>
      </c>
      <c r="D176" t="s">
        <v>239</v>
      </c>
      <c r="E176">
        <v>4</v>
      </c>
      <c r="F176">
        <v>100636</v>
      </c>
      <c r="G176">
        <v>13084.91</v>
      </c>
      <c r="H176" t="str">
        <f>TEXT(Orders[[#This Row],[Order_Date]],"mmmm")</f>
        <v>September</v>
      </c>
      <c r="I176">
        <f>YEAR(Orders[[#This Row],[Order_Date]])</f>
        <v>2024</v>
      </c>
      <c r="J176" t="str">
        <f>"Q"&amp;ROUNDUP(MONTH(Orders[[#This Row],[Order_Date]])/3,0)</f>
        <v>Q3</v>
      </c>
      <c r="K176" s="2">
        <f>(Orders[[#This Row],[Profit]]/Orders[[#This Row],[Sales]])*100</f>
        <v>13.002215906832545</v>
      </c>
    </row>
    <row r="177" spans="1:11" x14ac:dyDescent="0.3">
      <c r="A177" t="s">
        <v>421</v>
      </c>
      <c r="B177" s="1">
        <v>45537</v>
      </c>
      <c r="C177" t="s">
        <v>146</v>
      </c>
      <c r="D177" t="s">
        <v>229</v>
      </c>
      <c r="E177">
        <v>1</v>
      </c>
      <c r="F177">
        <v>8873</v>
      </c>
      <c r="G177">
        <v>1624.1</v>
      </c>
      <c r="H177" t="str">
        <f>TEXT(Orders[[#This Row],[Order_Date]],"mmmm")</f>
        <v>September</v>
      </c>
      <c r="I177">
        <f>YEAR(Orders[[#This Row],[Order_Date]])</f>
        <v>2024</v>
      </c>
      <c r="J177" t="str">
        <f>"Q"&amp;ROUNDUP(MONTH(Orders[[#This Row],[Order_Date]])/3,0)</f>
        <v>Q3</v>
      </c>
      <c r="K177" s="2">
        <f>(Orders[[#This Row],[Profit]]/Orders[[#This Row],[Sales]])*100</f>
        <v>18.303843119576239</v>
      </c>
    </row>
    <row r="178" spans="1:11" x14ac:dyDescent="0.3">
      <c r="A178" t="s">
        <v>422</v>
      </c>
      <c r="B178" s="1">
        <v>45651</v>
      </c>
      <c r="C178" t="s">
        <v>45</v>
      </c>
      <c r="D178" t="s">
        <v>260</v>
      </c>
      <c r="E178">
        <v>4</v>
      </c>
      <c r="F178">
        <v>223800</v>
      </c>
      <c r="G178">
        <v>41250.39</v>
      </c>
      <c r="H178" t="str">
        <f>TEXT(Orders[[#This Row],[Order_Date]],"mmmm")</f>
        <v>December</v>
      </c>
      <c r="I178">
        <f>YEAR(Orders[[#This Row],[Order_Date]])</f>
        <v>2024</v>
      </c>
      <c r="J178" t="str">
        <f>"Q"&amp;ROUNDUP(MONTH(Orders[[#This Row],[Order_Date]])/3,0)</f>
        <v>Q4</v>
      </c>
      <c r="K178" s="2">
        <f>(Orders[[#This Row],[Profit]]/Orders[[#This Row],[Sales]])*100</f>
        <v>18.431809651474531</v>
      </c>
    </row>
    <row r="179" spans="1:11" x14ac:dyDescent="0.3">
      <c r="A179" t="s">
        <v>423</v>
      </c>
      <c r="B179" s="1">
        <v>45566</v>
      </c>
      <c r="C179" t="s">
        <v>70</v>
      </c>
      <c r="D179" t="s">
        <v>257</v>
      </c>
      <c r="E179">
        <v>5</v>
      </c>
      <c r="F179">
        <v>33735</v>
      </c>
      <c r="G179">
        <v>4176.18</v>
      </c>
      <c r="H179" t="str">
        <f>TEXT(Orders[[#This Row],[Order_Date]],"mmmm")</f>
        <v>October</v>
      </c>
      <c r="I179">
        <f>YEAR(Orders[[#This Row],[Order_Date]])</f>
        <v>2024</v>
      </c>
      <c r="J179" t="str">
        <f>"Q"&amp;ROUNDUP(MONTH(Orders[[#This Row],[Order_Date]])/3,0)</f>
        <v>Q4</v>
      </c>
      <c r="K179" s="2">
        <f>(Orders[[#This Row],[Profit]]/Orders[[#This Row],[Sales]])*100</f>
        <v>12.379368608270342</v>
      </c>
    </row>
    <row r="180" spans="1:11" x14ac:dyDescent="0.3">
      <c r="A180" t="s">
        <v>424</v>
      </c>
      <c r="B180" s="1">
        <v>45611</v>
      </c>
      <c r="C180" t="s">
        <v>92</v>
      </c>
      <c r="D180" t="s">
        <v>316</v>
      </c>
      <c r="E180">
        <v>5</v>
      </c>
      <c r="F180">
        <v>271920</v>
      </c>
      <c r="G180">
        <v>63960.160000000003</v>
      </c>
      <c r="H180" t="str">
        <f>TEXT(Orders[[#This Row],[Order_Date]],"mmmm")</f>
        <v>November</v>
      </c>
      <c r="I180">
        <f>YEAR(Orders[[#This Row],[Order_Date]])</f>
        <v>2024</v>
      </c>
      <c r="J180" t="str">
        <f>"Q"&amp;ROUNDUP(MONTH(Orders[[#This Row],[Order_Date]])/3,0)</f>
        <v>Q4</v>
      </c>
      <c r="K180" s="2">
        <f>(Orders[[#This Row],[Profit]]/Orders[[#This Row],[Sales]])*100</f>
        <v>23.521682847896443</v>
      </c>
    </row>
    <row r="181" spans="1:11" x14ac:dyDescent="0.3">
      <c r="A181" t="s">
        <v>425</v>
      </c>
      <c r="B181" s="1">
        <v>45628</v>
      </c>
      <c r="C181" t="s">
        <v>106</v>
      </c>
      <c r="D181" t="s">
        <v>316</v>
      </c>
      <c r="E181">
        <v>1</v>
      </c>
      <c r="F181">
        <v>54384</v>
      </c>
      <c r="G181">
        <v>4429.88</v>
      </c>
      <c r="H181" t="str">
        <f>TEXT(Orders[[#This Row],[Order_Date]],"mmmm")</f>
        <v>December</v>
      </c>
      <c r="I181">
        <f>YEAR(Orders[[#This Row],[Order_Date]])</f>
        <v>2024</v>
      </c>
      <c r="J181" t="str">
        <f>"Q"&amp;ROUNDUP(MONTH(Orders[[#This Row],[Order_Date]])/3,0)</f>
        <v>Q4</v>
      </c>
      <c r="K181" s="2">
        <f>(Orders[[#This Row],[Profit]]/Orders[[#This Row],[Sales]])*100</f>
        <v>8.1455575169167407</v>
      </c>
    </row>
    <row r="182" spans="1:11" x14ac:dyDescent="0.3">
      <c r="A182" t="s">
        <v>426</v>
      </c>
      <c r="B182" s="1">
        <v>45517</v>
      </c>
      <c r="C182" t="s">
        <v>108</v>
      </c>
      <c r="D182" t="s">
        <v>231</v>
      </c>
      <c r="E182">
        <v>1</v>
      </c>
      <c r="F182">
        <v>54937</v>
      </c>
      <c r="G182">
        <v>9443.18</v>
      </c>
      <c r="H182" t="str">
        <f>TEXT(Orders[[#This Row],[Order_Date]],"mmmm")</f>
        <v>August</v>
      </c>
      <c r="I182">
        <f>YEAR(Orders[[#This Row],[Order_Date]])</f>
        <v>2024</v>
      </c>
      <c r="J182" t="str">
        <f>"Q"&amp;ROUNDUP(MONTH(Orders[[#This Row],[Order_Date]])/3,0)</f>
        <v>Q3</v>
      </c>
      <c r="K182" s="2">
        <f>(Orders[[#This Row],[Profit]]/Orders[[#This Row],[Sales]])*100</f>
        <v>17.189107523162896</v>
      </c>
    </row>
    <row r="183" spans="1:11" x14ac:dyDescent="0.3">
      <c r="A183" t="s">
        <v>427</v>
      </c>
      <c r="B183" s="1">
        <v>45430</v>
      </c>
      <c r="C183" t="s">
        <v>96</v>
      </c>
      <c r="D183" t="s">
        <v>239</v>
      </c>
      <c r="E183">
        <v>2</v>
      </c>
      <c r="F183">
        <v>50318</v>
      </c>
      <c r="G183">
        <v>8371.02</v>
      </c>
      <c r="H183" t="str">
        <f>TEXT(Orders[[#This Row],[Order_Date]],"mmmm")</f>
        <v>May</v>
      </c>
      <c r="I183">
        <f>YEAR(Orders[[#This Row],[Order_Date]])</f>
        <v>2024</v>
      </c>
      <c r="J183" t="str">
        <f>"Q"&amp;ROUNDUP(MONTH(Orders[[#This Row],[Order_Date]])/3,0)</f>
        <v>Q2</v>
      </c>
      <c r="K183" s="2">
        <f>(Orders[[#This Row],[Profit]]/Orders[[#This Row],[Sales]])*100</f>
        <v>16.636233554592792</v>
      </c>
    </row>
    <row r="184" spans="1:11" x14ac:dyDescent="0.3">
      <c r="A184" t="s">
        <v>428</v>
      </c>
      <c r="B184" s="1">
        <v>45423</v>
      </c>
      <c r="C184" t="s">
        <v>200</v>
      </c>
      <c r="D184" t="s">
        <v>227</v>
      </c>
      <c r="E184">
        <v>4</v>
      </c>
      <c r="F184">
        <v>37576</v>
      </c>
      <c r="G184">
        <v>3953.64</v>
      </c>
      <c r="H184" t="str">
        <f>TEXT(Orders[[#This Row],[Order_Date]],"mmmm")</f>
        <v>May</v>
      </c>
      <c r="I184">
        <f>YEAR(Orders[[#This Row],[Order_Date]])</f>
        <v>2024</v>
      </c>
      <c r="J184" t="str">
        <f>"Q"&amp;ROUNDUP(MONTH(Orders[[#This Row],[Order_Date]])/3,0)</f>
        <v>Q2</v>
      </c>
      <c r="K184" s="2">
        <f>(Orders[[#This Row],[Profit]]/Orders[[#This Row],[Sales]])*100</f>
        <v>10.521715988929103</v>
      </c>
    </row>
    <row r="185" spans="1:11" x14ac:dyDescent="0.3">
      <c r="A185" t="s">
        <v>429</v>
      </c>
      <c r="B185" s="1">
        <v>45321</v>
      </c>
      <c r="C185" t="s">
        <v>68</v>
      </c>
      <c r="D185" t="s">
        <v>283</v>
      </c>
      <c r="E185">
        <v>5</v>
      </c>
      <c r="F185">
        <v>270935</v>
      </c>
      <c r="G185">
        <v>50693.14</v>
      </c>
      <c r="H185" t="str">
        <f>TEXT(Orders[[#This Row],[Order_Date]],"mmmm")</f>
        <v>January</v>
      </c>
      <c r="I185">
        <f>YEAR(Orders[[#This Row],[Order_Date]])</f>
        <v>2024</v>
      </c>
      <c r="J185" t="str">
        <f>"Q"&amp;ROUNDUP(MONTH(Orders[[#This Row],[Order_Date]])/3,0)</f>
        <v>Q1</v>
      </c>
      <c r="K185" s="2">
        <f>(Orders[[#This Row],[Profit]]/Orders[[#This Row],[Sales]])*100</f>
        <v>18.710443464299555</v>
      </c>
    </row>
    <row r="186" spans="1:11" x14ac:dyDescent="0.3">
      <c r="A186" t="s">
        <v>430</v>
      </c>
      <c r="B186" s="1">
        <v>45503</v>
      </c>
      <c r="C186" t="s">
        <v>156</v>
      </c>
      <c r="D186" t="s">
        <v>235</v>
      </c>
      <c r="E186">
        <v>5</v>
      </c>
      <c r="F186">
        <v>56710</v>
      </c>
      <c r="G186">
        <v>5971.86</v>
      </c>
      <c r="H186" t="str">
        <f>TEXT(Orders[[#This Row],[Order_Date]],"mmmm")</f>
        <v>July</v>
      </c>
      <c r="I186">
        <f>YEAR(Orders[[#This Row],[Order_Date]])</f>
        <v>2024</v>
      </c>
      <c r="J186" t="str">
        <f>"Q"&amp;ROUNDUP(MONTH(Orders[[#This Row],[Order_Date]])/3,0)</f>
        <v>Q3</v>
      </c>
      <c r="K186" s="2">
        <f>(Orders[[#This Row],[Profit]]/Orders[[#This Row],[Sales]])*100</f>
        <v>10.530523717157466</v>
      </c>
    </row>
    <row r="187" spans="1:11" x14ac:dyDescent="0.3">
      <c r="A187" t="s">
        <v>431</v>
      </c>
      <c r="B187" s="1">
        <v>45428</v>
      </c>
      <c r="C187" t="s">
        <v>88</v>
      </c>
      <c r="D187" t="s">
        <v>231</v>
      </c>
      <c r="E187">
        <v>4</v>
      </c>
      <c r="F187">
        <v>219748</v>
      </c>
      <c r="G187">
        <v>43558.86</v>
      </c>
      <c r="H187" t="str">
        <f>TEXT(Orders[[#This Row],[Order_Date]],"mmmm")</f>
        <v>May</v>
      </c>
      <c r="I187">
        <f>YEAR(Orders[[#This Row],[Order_Date]])</f>
        <v>2024</v>
      </c>
      <c r="J187" t="str">
        <f>"Q"&amp;ROUNDUP(MONTH(Orders[[#This Row],[Order_Date]])/3,0)</f>
        <v>Q2</v>
      </c>
      <c r="K187" s="2">
        <f>(Orders[[#This Row],[Profit]]/Orders[[#This Row],[Sales]])*100</f>
        <v>19.822187232648307</v>
      </c>
    </row>
    <row r="188" spans="1:11" x14ac:dyDescent="0.3">
      <c r="A188" t="s">
        <v>432</v>
      </c>
      <c r="B188" s="1">
        <v>45532</v>
      </c>
      <c r="C188" t="s">
        <v>144</v>
      </c>
      <c r="D188" t="s">
        <v>263</v>
      </c>
      <c r="E188">
        <v>4</v>
      </c>
      <c r="F188">
        <v>28620</v>
      </c>
      <c r="G188">
        <v>4078.53</v>
      </c>
      <c r="H188" t="str">
        <f>TEXT(Orders[[#This Row],[Order_Date]],"mmmm")</f>
        <v>August</v>
      </c>
      <c r="I188">
        <f>YEAR(Orders[[#This Row],[Order_Date]])</f>
        <v>2024</v>
      </c>
      <c r="J188" t="str">
        <f>"Q"&amp;ROUNDUP(MONTH(Orders[[#This Row],[Order_Date]])/3,0)</f>
        <v>Q3</v>
      </c>
      <c r="K188" s="2">
        <f>(Orders[[#This Row],[Profit]]/Orders[[#This Row],[Sales]])*100</f>
        <v>14.25062893081761</v>
      </c>
    </row>
    <row r="189" spans="1:11" x14ac:dyDescent="0.3">
      <c r="A189" t="s">
        <v>433</v>
      </c>
      <c r="B189" s="1">
        <v>45384</v>
      </c>
      <c r="C189" t="s">
        <v>80</v>
      </c>
      <c r="D189" t="s">
        <v>233</v>
      </c>
      <c r="E189">
        <v>2</v>
      </c>
      <c r="F189">
        <v>111390</v>
      </c>
      <c r="G189">
        <v>20381.53</v>
      </c>
      <c r="H189" t="str">
        <f>TEXT(Orders[[#This Row],[Order_Date]],"mmmm")</f>
        <v>April</v>
      </c>
      <c r="I189">
        <f>YEAR(Orders[[#This Row],[Order_Date]])</f>
        <v>2024</v>
      </c>
      <c r="J189" t="str">
        <f>"Q"&amp;ROUNDUP(MONTH(Orders[[#This Row],[Order_Date]])/3,0)</f>
        <v>Q2</v>
      </c>
      <c r="K189" s="2">
        <f>(Orders[[#This Row],[Profit]]/Orders[[#This Row],[Sales]])*100</f>
        <v>18.297450399497261</v>
      </c>
    </row>
    <row r="190" spans="1:11" x14ac:dyDescent="0.3">
      <c r="A190" t="s">
        <v>434</v>
      </c>
      <c r="B190" s="1">
        <v>45321</v>
      </c>
      <c r="C190" t="s">
        <v>208</v>
      </c>
      <c r="D190" t="s">
        <v>245</v>
      </c>
      <c r="E190">
        <v>4</v>
      </c>
      <c r="F190">
        <v>96944</v>
      </c>
      <c r="G190">
        <v>16568.669999999998</v>
      </c>
      <c r="H190" t="str">
        <f>TEXT(Orders[[#This Row],[Order_Date]],"mmmm")</f>
        <v>January</v>
      </c>
      <c r="I190">
        <f>YEAR(Orders[[#This Row],[Order_Date]])</f>
        <v>2024</v>
      </c>
      <c r="J190" t="str">
        <f>"Q"&amp;ROUNDUP(MONTH(Orders[[#This Row],[Order_Date]])/3,0)</f>
        <v>Q1</v>
      </c>
      <c r="K190" s="2">
        <f>(Orders[[#This Row],[Profit]]/Orders[[#This Row],[Sales]])*100</f>
        <v>17.090970044561807</v>
      </c>
    </row>
    <row r="191" spans="1:11" x14ac:dyDescent="0.3">
      <c r="A191" t="s">
        <v>435</v>
      </c>
      <c r="B191" s="1">
        <v>45622</v>
      </c>
      <c r="C191" t="s">
        <v>148</v>
      </c>
      <c r="D191" t="s">
        <v>233</v>
      </c>
      <c r="E191">
        <v>5</v>
      </c>
      <c r="F191">
        <v>278475</v>
      </c>
      <c r="G191">
        <v>54948.2</v>
      </c>
      <c r="H191" t="str">
        <f>TEXT(Orders[[#This Row],[Order_Date]],"mmmm")</f>
        <v>November</v>
      </c>
      <c r="I191">
        <f>YEAR(Orders[[#This Row],[Order_Date]])</f>
        <v>2024</v>
      </c>
      <c r="J191" t="str">
        <f>"Q"&amp;ROUNDUP(MONTH(Orders[[#This Row],[Order_Date]])/3,0)</f>
        <v>Q4</v>
      </c>
      <c r="K191" s="2">
        <f>(Orders[[#This Row],[Profit]]/Orders[[#This Row],[Sales]])*100</f>
        <v>19.731825118951431</v>
      </c>
    </row>
    <row r="192" spans="1:11" x14ac:dyDescent="0.3">
      <c r="A192" t="s">
        <v>436</v>
      </c>
      <c r="B192" s="1">
        <v>45537</v>
      </c>
      <c r="C192" t="s">
        <v>214</v>
      </c>
      <c r="D192" t="s">
        <v>263</v>
      </c>
      <c r="E192">
        <v>3</v>
      </c>
      <c r="F192">
        <v>21465</v>
      </c>
      <c r="G192">
        <v>3988.91</v>
      </c>
      <c r="H192" t="str">
        <f>TEXT(Orders[[#This Row],[Order_Date]],"mmmm")</f>
        <v>September</v>
      </c>
      <c r="I192">
        <f>YEAR(Orders[[#This Row],[Order_Date]])</f>
        <v>2024</v>
      </c>
      <c r="J192" t="str">
        <f>"Q"&amp;ROUNDUP(MONTH(Orders[[#This Row],[Order_Date]])/3,0)</f>
        <v>Q3</v>
      </c>
      <c r="K192" s="2">
        <f>(Orders[[#This Row],[Profit]]/Orders[[#This Row],[Sales]])*100</f>
        <v>18.583321686466338</v>
      </c>
    </row>
    <row r="193" spans="1:11" x14ac:dyDescent="0.3">
      <c r="A193" t="s">
        <v>437</v>
      </c>
      <c r="B193" s="1">
        <v>45649</v>
      </c>
      <c r="C193" t="s">
        <v>104</v>
      </c>
      <c r="D193" t="s">
        <v>239</v>
      </c>
      <c r="E193">
        <v>2</v>
      </c>
      <c r="F193">
        <v>50318</v>
      </c>
      <c r="G193">
        <v>11615.07</v>
      </c>
      <c r="H193" t="str">
        <f>TEXT(Orders[[#This Row],[Order_Date]],"mmmm")</f>
        <v>December</v>
      </c>
      <c r="I193">
        <f>YEAR(Orders[[#This Row],[Order_Date]])</f>
        <v>2024</v>
      </c>
      <c r="J193" t="str">
        <f>"Q"&amp;ROUNDUP(MONTH(Orders[[#This Row],[Order_Date]])/3,0)</f>
        <v>Q4</v>
      </c>
      <c r="K193" s="2">
        <f>(Orders[[#This Row],[Profit]]/Orders[[#This Row],[Sales]])*100</f>
        <v>23.083330021066022</v>
      </c>
    </row>
    <row r="194" spans="1:11" x14ac:dyDescent="0.3">
      <c r="A194" t="s">
        <v>438</v>
      </c>
      <c r="B194" s="1">
        <v>45651</v>
      </c>
      <c r="C194" t="s">
        <v>84</v>
      </c>
      <c r="D194" t="s">
        <v>227</v>
      </c>
      <c r="E194">
        <v>1</v>
      </c>
      <c r="F194">
        <v>9394</v>
      </c>
      <c r="G194">
        <v>1766.02</v>
      </c>
      <c r="H194" t="str">
        <f>TEXT(Orders[[#This Row],[Order_Date]],"mmmm")</f>
        <v>December</v>
      </c>
      <c r="I194">
        <f>YEAR(Orders[[#This Row],[Order_Date]])</f>
        <v>2024</v>
      </c>
      <c r="J194" t="str">
        <f>"Q"&amp;ROUNDUP(MONTH(Orders[[#This Row],[Order_Date]])/3,0)</f>
        <v>Q4</v>
      </c>
      <c r="K194" s="2">
        <f>(Orders[[#This Row],[Profit]]/Orders[[#This Row],[Sales]])*100</f>
        <v>18.79944645518416</v>
      </c>
    </row>
    <row r="195" spans="1:11" x14ac:dyDescent="0.3">
      <c r="A195" t="s">
        <v>439</v>
      </c>
      <c r="B195" s="1">
        <v>45407</v>
      </c>
      <c r="C195" t="s">
        <v>29</v>
      </c>
      <c r="D195" t="s">
        <v>245</v>
      </c>
      <c r="E195">
        <v>2</v>
      </c>
      <c r="F195">
        <v>48472</v>
      </c>
      <c r="G195">
        <v>9520.4</v>
      </c>
      <c r="H195" t="str">
        <f>TEXT(Orders[[#This Row],[Order_Date]],"mmmm")</f>
        <v>April</v>
      </c>
      <c r="I195">
        <f>YEAR(Orders[[#This Row],[Order_Date]])</f>
        <v>2024</v>
      </c>
      <c r="J195" t="str">
        <f>"Q"&amp;ROUNDUP(MONTH(Orders[[#This Row],[Order_Date]])/3,0)</f>
        <v>Q2</v>
      </c>
      <c r="K195" s="2">
        <f>(Orders[[#This Row],[Profit]]/Orders[[#This Row],[Sales]])*100</f>
        <v>19.64102987291632</v>
      </c>
    </row>
    <row r="196" spans="1:11" x14ac:dyDescent="0.3">
      <c r="A196" t="s">
        <v>440</v>
      </c>
      <c r="B196" s="1">
        <v>45449</v>
      </c>
      <c r="C196" t="s">
        <v>164</v>
      </c>
      <c r="D196" t="s">
        <v>263</v>
      </c>
      <c r="E196">
        <v>5</v>
      </c>
      <c r="F196">
        <v>35775</v>
      </c>
      <c r="G196">
        <v>6313.85</v>
      </c>
      <c r="H196" t="str">
        <f>TEXT(Orders[[#This Row],[Order_Date]],"mmmm")</f>
        <v>June</v>
      </c>
      <c r="I196">
        <f>YEAR(Orders[[#This Row],[Order_Date]])</f>
        <v>2024</v>
      </c>
      <c r="J196" t="str">
        <f>"Q"&amp;ROUNDUP(MONTH(Orders[[#This Row],[Order_Date]])/3,0)</f>
        <v>Q2</v>
      </c>
      <c r="K196" s="2">
        <f>(Orders[[#This Row],[Profit]]/Orders[[#This Row],[Sales]])*100</f>
        <v>17.648777078965761</v>
      </c>
    </row>
    <row r="197" spans="1:11" x14ac:dyDescent="0.3">
      <c r="A197" t="s">
        <v>441</v>
      </c>
      <c r="B197" s="1">
        <v>45448</v>
      </c>
      <c r="C197" t="s">
        <v>128</v>
      </c>
      <c r="D197" t="s">
        <v>233</v>
      </c>
      <c r="E197">
        <v>1</v>
      </c>
      <c r="F197">
        <v>55695</v>
      </c>
      <c r="G197">
        <v>11781.95</v>
      </c>
      <c r="H197" t="str">
        <f>TEXT(Orders[[#This Row],[Order_Date]],"mmmm")</f>
        <v>June</v>
      </c>
      <c r="I197">
        <f>YEAR(Orders[[#This Row],[Order_Date]])</f>
        <v>2024</v>
      </c>
      <c r="J197" t="str">
        <f>"Q"&amp;ROUNDUP(MONTH(Orders[[#This Row],[Order_Date]])/3,0)</f>
        <v>Q2</v>
      </c>
      <c r="K197" s="2">
        <f>(Orders[[#This Row],[Profit]]/Orders[[#This Row],[Sales]])*100</f>
        <v>21.154412424813717</v>
      </c>
    </row>
    <row r="198" spans="1:11" x14ac:dyDescent="0.3">
      <c r="A198" t="s">
        <v>442</v>
      </c>
      <c r="B198" s="1">
        <v>45435</v>
      </c>
      <c r="C198" t="s">
        <v>176</v>
      </c>
      <c r="D198" t="s">
        <v>227</v>
      </c>
      <c r="E198">
        <v>1</v>
      </c>
      <c r="F198">
        <v>9394</v>
      </c>
      <c r="G198">
        <v>1938.16</v>
      </c>
      <c r="H198" t="str">
        <f>TEXT(Orders[[#This Row],[Order_Date]],"mmmm")</f>
        <v>May</v>
      </c>
      <c r="I198">
        <f>YEAR(Orders[[#This Row],[Order_Date]])</f>
        <v>2024</v>
      </c>
      <c r="J198" t="str">
        <f>"Q"&amp;ROUNDUP(MONTH(Orders[[#This Row],[Order_Date]])/3,0)</f>
        <v>Q2</v>
      </c>
      <c r="K198" s="2">
        <f>(Orders[[#This Row],[Profit]]/Orders[[#This Row],[Sales]])*100</f>
        <v>20.631892697466469</v>
      </c>
    </row>
    <row r="199" spans="1:11" x14ac:dyDescent="0.3">
      <c r="A199" t="s">
        <v>443</v>
      </c>
      <c r="B199" s="1">
        <v>45557</v>
      </c>
      <c r="C199" t="s">
        <v>194</v>
      </c>
      <c r="D199" t="s">
        <v>233</v>
      </c>
      <c r="E199">
        <v>3</v>
      </c>
      <c r="F199">
        <v>167085</v>
      </c>
      <c r="G199">
        <v>30441.82</v>
      </c>
      <c r="H199" t="str">
        <f>TEXT(Orders[[#This Row],[Order_Date]],"mmmm")</f>
        <v>September</v>
      </c>
      <c r="I199">
        <f>YEAR(Orders[[#This Row],[Order_Date]])</f>
        <v>2024</v>
      </c>
      <c r="J199" t="str">
        <f>"Q"&amp;ROUNDUP(MONTH(Orders[[#This Row],[Order_Date]])/3,0)</f>
        <v>Q3</v>
      </c>
      <c r="K199" s="2">
        <f>(Orders[[#This Row],[Profit]]/Orders[[#This Row],[Sales]])*100</f>
        <v>18.219361402878775</v>
      </c>
    </row>
    <row r="200" spans="1:11" x14ac:dyDescent="0.3">
      <c r="A200" t="s">
        <v>444</v>
      </c>
      <c r="B200" s="1">
        <v>45363</v>
      </c>
      <c r="C200" t="s">
        <v>116</v>
      </c>
      <c r="D200" t="s">
        <v>344</v>
      </c>
      <c r="E200">
        <v>1</v>
      </c>
      <c r="F200">
        <v>9101</v>
      </c>
      <c r="G200">
        <v>1238.3900000000001</v>
      </c>
      <c r="H200" t="str">
        <f>TEXT(Orders[[#This Row],[Order_Date]],"mmmm")</f>
        <v>March</v>
      </c>
      <c r="I200">
        <f>YEAR(Orders[[#This Row],[Order_Date]])</f>
        <v>2024</v>
      </c>
      <c r="J200" t="str">
        <f>"Q"&amp;ROUNDUP(MONTH(Orders[[#This Row],[Order_Date]])/3,0)</f>
        <v>Q1</v>
      </c>
      <c r="K200" s="2">
        <f>(Orders[[#This Row],[Profit]]/Orders[[#This Row],[Sales]])*100</f>
        <v>13.607186023513901</v>
      </c>
    </row>
    <row r="201" spans="1:11" x14ac:dyDescent="0.3">
      <c r="A201" t="s">
        <v>445</v>
      </c>
      <c r="B201" s="1">
        <v>45313</v>
      </c>
      <c r="C201" t="s">
        <v>47</v>
      </c>
      <c r="D201" t="s">
        <v>231</v>
      </c>
      <c r="E201">
        <v>2</v>
      </c>
      <c r="F201">
        <v>109874</v>
      </c>
      <c r="G201">
        <v>21513.82</v>
      </c>
      <c r="H201" t="str">
        <f>TEXT(Orders[[#This Row],[Order_Date]],"mmmm")</f>
        <v>January</v>
      </c>
      <c r="I201">
        <f>YEAR(Orders[[#This Row],[Order_Date]])</f>
        <v>2024</v>
      </c>
      <c r="J201" t="str">
        <f>"Q"&amp;ROUNDUP(MONTH(Orders[[#This Row],[Order_Date]])/3,0)</f>
        <v>Q1</v>
      </c>
      <c r="K201" s="2">
        <f>(Orders[[#This Row],[Profit]]/Orders[[#This Row],[Sales]])*100</f>
        <v>19.580446693485264</v>
      </c>
    </row>
    <row r="202" spans="1:11" x14ac:dyDescent="0.3">
      <c r="A202" t="s">
        <v>446</v>
      </c>
      <c r="B202" s="1">
        <v>45344</v>
      </c>
      <c r="C202" t="s">
        <v>108</v>
      </c>
      <c r="D202" t="s">
        <v>237</v>
      </c>
      <c r="E202">
        <v>1</v>
      </c>
      <c r="F202">
        <v>8626</v>
      </c>
      <c r="G202">
        <v>1753.13</v>
      </c>
      <c r="H202" t="str">
        <f>TEXT(Orders[[#This Row],[Order_Date]],"mmmm")</f>
        <v>February</v>
      </c>
      <c r="I202">
        <f>YEAR(Orders[[#This Row],[Order_Date]])</f>
        <v>2024</v>
      </c>
      <c r="J202" t="str">
        <f>"Q"&amp;ROUNDUP(MONTH(Orders[[#This Row],[Order_Date]])/3,0)</f>
        <v>Q1</v>
      </c>
      <c r="K202" s="2">
        <f>(Orders[[#This Row],[Profit]]/Orders[[#This Row],[Sales]])*100</f>
        <v>20.323788546255507</v>
      </c>
    </row>
    <row r="203" spans="1:11" x14ac:dyDescent="0.3">
      <c r="A203" t="s">
        <v>447</v>
      </c>
      <c r="B203" s="1">
        <v>45317</v>
      </c>
      <c r="C203" t="s">
        <v>96</v>
      </c>
      <c r="D203" t="s">
        <v>233</v>
      </c>
      <c r="E203">
        <v>2</v>
      </c>
      <c r="F203">
        <v>111390</v>
      </c>
      <c r="G203">
        <v>14011.46</v>
      </c>
      <c r="H203" t="str">
        <f>TEXT(Orders[[#This Row],[Order_Date]],"mmmm")</f>
        <v>January</v>
      </c>
      <c r="I203">
        <f>YEAR(Orders[[#This Row],[Order_Date]])</f>
        <v>2024</v>
      </c>
      <c r="J203" t="str">
        <f>"Q"&amp;ROUNDUP(MONTH(Orders[[#This Row],[Order_Date]])/3,0)</f>
        <v>Q1</v>
      </c>
      <c r="K203" s="2">
        <f>(Orders[[#This Row],[Profit]]/Orders[[#This Row],[Sales]])*100</f>
        <v>12.578741359188436</v>
      </c>
    </row>
    <row r="204" spans="1:11" x14ac:dyDescent="0.3">
      <c r="A204" t="s">
        <v>448</v>
      </c>
      <c r="B204" s="1">
        <v>45496</v>
      </c>
      <c r="C204" t="s">
        <v>112</v>
      </c>
      <c r="D204" t="s">
        <v>344</v>
      </c>
      <c r="E204">
        <v>1</v>
      </c>
      <c r="F204">
        <v>9101</v>
      </c>
      <c r="G204">
        <v>943.19</v>
      </c>
      <c r="H204" t="str">
        <f>TEXT(Orders[[#This Row],[Order_Date]],"mmmm")</f>
        <v>July</v>
      </c>
      <c r="I204">
        <f>YEAR(Orders[[#This Row],[Order_Date]])</f>
        <v>2024</v>
      </c>
      <c r="J204" t="str">
        <f>"Q"&amp;ROUNDUP(MONTH(Orders[[#This Row],[Order_Date]])/3,0)</f>
        <v>Q3</v>
      </c>
      <c r="K204" s="2">
        <f>(Orders[[#This Row],[Profit]]/Orders[[#This Row],[Sales]])*100</f>
        <v>10.363586419074828</v>
      </c>
    </row>
    <row r="205" spans="1:11" x14ac:dyDescent="0.3">
      <c r="A205" t="s">
        <v>449</v>
      </c>
      <c r="B205" s="1">
        <v>45432</v>
      </c>
      <c r="C205" t="s">
        <v>114</v>
      </c>
      <c r="D205" t="s">
        <v>227</v>
      </c>
      <c r="E205">
        <v>1</v>
      </c>
      <c r="F205">
        <v>9394</v>
      </c>
      <c r="G205">
        <v>1836.9</v>
      </c>
      <c r="H205" t="str">
        <f>TEXT(Orders[[#This Row],[Order_Date]],"mmmm")</f>
        <v>May</v>
      </c>
      <c r="I205">
        <f>YEAR(Orders[[#This Row],[Order_Date]])</f>
        <v>2024</v>
      </c>
      <c r="J205" t="str">
        <f>"Q"&amp;ROUNDUP(MONTH(Orders[[#This Row],[Order_Date]])/3,0)</f>
        <v>Q2</v>
      </c>
      <c r="K205" s="2">
        <f>(Orders[[#This Row],[Profit]]/Orders[[#This Row],[Sales]])*100</f>
        <v>19.553970619544391</v>
      </c>
    </row>
    <row r="206" spans="1:11" x14ac:dyDescent="0.3">
      <c r="A206" t="s">
        <v>450</v>
      </c>
      <c r="B206" s="1">
        <v>45349</v>
      </c>
      <c r="C206" t="s">
        <v>13</v>
      </c>
      <c r="D206" t="s">
        <v>255</v>
      </c>
      <c r="E206">
        <v>3</v>
      </c>
      <c r="F206">
        <v>76824</v>
      </c>
      <c r="G206">
        <v>18669.900000000001</v>
      </c>
      <c r="H206" t="str">
        <f>TEXT(Orders[[#This Row],[Order_Date]],"mmmm")</f>
        <v>February</v>
      </c>
      <c r="I206">
        <f>YEAR(Orders[[#This Row],[Order_Date]])</f>
        <v>2024</v>
      </c>
      <c r="J206" t="str">
        <f>"Q"&amp;ROUNDUP(MONTH(Orders[[#This Row],[Order_Date]])/3,0)</f>
        <v>Q1</v>
      </c>
      <c r="K206" s="2">
        <f>(Orders[[#This Row],[Profit]]/Orders[[#This Row],[Sales]])*100</f>
        <v>24.302171196501096</v>
      </c>
    </row>
    <row r="207" spans="1:11" x14ac:dyDescent="0.3">
      <c r="A207" t="s">
        <v>451</v>
      </c>
      <c r="B207" s="1">
        <v>45430</v>
      </c>
      <c r="C207" t="s">
        <v>110</v>
      </c>
      <c r="D207" t="s">
        <v>260</v>
      </c>
      <c r="E207">
        <v>5</v>
      </c>
      <c r="F207">
        <v>279750</v>
      </c>
      <c r="G207">
        <v>66476.960000000006</v>
      </c>
      <c r="H207" t="str">
        <f>TEXT(Orders[[#This Row],[Order_Date]],"mmmm")</f>
        <v>May</v>
      </c>
      <c r="I207">
        <f>YEAR(Orders[[#This Row],[Order_Date]])</f>
        <v>2024</v>
      </c>
      <c r="J207" t="str">
        <f>"Q"&amp;ROUNDUP(MONTH(Orders[[#This Row],[Order_Date]])/3,0)</f>
        <v>Q2</v>
      </c>
      <c r="K207" s="2">
        <f>(Orders[[#This Row],[Profit]]/Orders[[#This Row],[Sales]])*100</f>
        <v>23.762988382484362</v>
      </c>
    </row>
    <row r="208" spans="1:11" x14ac:dyDescent="0.3">
      <c r="A208" t="s">
        <v>452</v>
      </c>
      <c r="B208" s="1">
        <v>45562</v>
      </c>
      <c r="C208" t="s">
        <v>122</v>
      </c>
      <c r="D208" t="s">
        <v>237</v>
      </c>
      <c r="E208">
        <v>5</v>
      </c>
      <c r="F208">
        <v>43130</v>
      </c>
      <c r="G208">
        <v>8000.97</v>
      </c>
      <c r="H208" t="str">
        <f>TEXT(Orders[[#This Row],[Order_Date]],"mmmm")</f>
        <v>September</v>
      </c>
      <c r="I208">
        <f>YEAR(Orders[[#This Row],[Order_Date]])</f>
        <v>2024</v>
      </c>
      <c r="J208" t="str">
        <f>"Q"&amp;ROUNDUP(MONTH(Orders[[#This Row],[Order_Date]])/3,0)</f>
        <v>Q3</v>
      </c>
      <c r="K208" s="2">
        <f>(Orders[[#This Row],[Profit]]/Orders[[#This Row],[Sales]])*100</f>
        <v>18.550823092974728</v>
      </c>
    </row>
    <row r="209" spans="1:11" x14ac:dyDescent="0.3">
      <c r="A209" t="s">
        <v>453</v>
      </c>
      <c r="B209" s="1">
        <v>45493</v>
      </c>
      <c r="C209" t="s">
        <v>140</v>
      </c>
      <c r="D209" t="s">
        <v>245</v>
      </c>
      <c r="E209">
        <v>4</v>
      </c>
      <c r="F209">
        <v>96944</v>
      </c>
      <c r="G209">
        <v>16585.13</v>
      </c>
      <c r="H209" t="str">
        <f>TEXT(Orders[[#This Row],[Order_Date]],"mmmm")</f>
        <v>July</v>
      </c>
      <c r="I209">
        <f>YEAR(Orders[[#This Row],[Order_Date]])</f>
        <v>2024</v>
      </c>
      <c r="J209" t="str">
        <f>"Q"&amp;ROUNDUP(MONTH(Orders[[#This Row],[Order_Date]])/3,0)</f>
        <v>Q3</v>
      </c>
      <c r="K209" s="2">
        <f>(Orders[[#This Row],[Profit]]/Orders[[#This Row],[Sales]])*100</f>
        <v>17.107948918963526</v>
      </c>
    </row>
    <row r="210" spans="1:11" x14ac:dyDescent="0.3">
      <c r="A210" t="s">
        <v>454</v>
      </c>
      <c r="B210" s="1">
        <v>45319</v>
      </c>
      <c r="C210" t="s">
        <v>96</v>
      </c>
      <c r="D210" t="s">
        <v>227</v>
      </c>
      <c r="E210">
        <v>3</v>
      </c>
      <c r="F210">
        <v>28182</v>
      </c>
      <c r="G210">
        <v>4885.38</v>
      </c>
      <c r="H210" t="str">
        <f>TEXT(Orders[[#This Row],[Order_Date]],"mmmm")</f>
        <v>January</v>
      </c>
      <c r="I210">
        <f>YEAR(Orders[[#This Row],[Order_Date]])</f>
        <v>2024</v>
      </c>
      <c r="J210" t="str">
        <f>"Q"&amp;ROUNDUP(MONTH(Orders[[#This Row],[Order_Date]])/3,0)</f>
        <v>Q1</v>
      </c>
      <c r="K210" s="2">
        <f>(Orders[[#This Row],[Profit]]/Orders[[#This Row],[Sales]])*100</f>
        <v>17.335107515435386</v>
      </c>
    </row>
    <row r="211" spans="1:11" x14ac:dyDescent="0.3">
      <c r="A211" t="s">
        <v>455</v>
      </c>
      <c r="B211" s="1">
        <v>45402</v>
      </c>
      <c r="C211" t="s">
        <v>172</v>
      </c>
      <c r="D211" t="s">
        <v>255</v>
      </c>
      <c r="E211">
        <v>1</v>
      </c>
      <c r="F211">
        <v>25608</v>
      </c>
      <c r="G211">
        <v>2811.12</v>
      </c>
      <c r="H211" t="str">
        <f>TEXT(Orders[[#This Row],[Order_Date]],"mmmm")</f>
        <v>April</v>
      </c>
      <c r="I211">
        <f>YEAR(Orders[[#This Row],[Order_Date]])</f>
        <v>2024</v>
      </c>
      <c r="J211" t="str">
        <f>"Q"&amp;ROUNDUP(MONTH(Orders[[#This Row],[Order_Date]])/3,0)</f>
        <v>Q2</v>
      </c>
      <c r="K211" s="2">
        <f>(Orders[[#This Row],[Profit]]/Orders[[#This Row],[Sales]])*100</f>
        <v>10.97750702905342</v>
      </c>
    </row>
    <row r="212" spans="1:11" x14ac:dyDescent="0.3">
      <c r="A212" t="s">
        <v>456</v>
      </c>
      <c r="B212" s="1">
        <v>45567</v>
      </c>
      <c r="C212" t="s">
        <v>130</v>
      </c>
      <c r="D212" t="s">
        <v>231</v>
      </c>
      <c r="E212">
        <v>5</v>
      </c>
      <c r="F212">
        <v>274685</v>
      </c>
      <c r="G212">
        <v>22908.080000000002</v>
      </c>
      <c r="H212" t="str">
        <f>TEXT(Orders[[#This Row],[Order_Date]],"mmmm")</f>
        <v>October</v>
      </c>
      <c r="I212">
        <f>YEAR(Orders[[#This Row],[Order_Date]])</f>
        <v>2024</v>
      </c>
      <c r="J212" t="str">
        <f>"Q"&amp;ROUNDUP(MONTH(Orders[[#This Row],[Order_Date]])/3,0)</f>
        <v>Q4</v>
      </c>
      <c r="K212" s="2">
        <f>(Orders[[#This Row],[Profit]]/Orders[[#This Row],[Sales]])*100</f>
        <v>8.3397637293627263</v>
      </c>
    </row>
    <row r="213" spans="1:11" x14ac:dyDescent="0.3">
      <c r="A213" t="s">
        <v>457</v>
      </c>
      <c r="B213" s="1">
        <v>45498</v>
      </c>
      <c r="C213" t="s">
        <v>88</v>
      </c>
      <c r="D213" t="s">
        <v>255</v>
      </c>
      <c r="E213">
        <v>3</v>
      </c>
      <c r="F213">
        <v>76824</v>
      </c>
      <c r="G213">
        <v>12326.39</v>
      </c>
      <c r="H213" t="str">
        <f>TEXT(Orders[[#This Row],[Order_Date]],"mmmm")</f>
        <v>July</v>
      </c>
      <c r="I213">
        <f>YEAR(Orders[[#This Row],[Order_Date]])</f>
        <v>2024</v>
      </c>
      <c r="J213" t="str">
        <f>"Q"&amp;ROUNDUP(MONTH(Orders[[#This Row],[Order_Date]])/3,0)</f>
        <v>Q3</v>
      </c>
      <c r="K213" s="2">
        <f>(Orders[[#This Row],[Profit]]/Orders[[#This Row],[Sales]])*100</f>
        <v>16.044972925127563</v>
      </c>
    </row>
    <row r="214" spans="1:11" x14ac:dyDescent="0.3">
      <c r="A214" t="s">
        <v>458</v>
      </c>
      <c r="B214" s="1">
        <v>45570</v>
      </c>
      <c r="C214" t="s">
        <v>200</v>
      </c>
      <c r="D214" t="s">
        <v>239</v>
      </c>
      <c r="E214">
        <v>3</v>
      </c>
      <c r="F214">
        <v>75477</v>
      </c>
      <c r="G214">
        <v>6924.46</v>
      </c>
      <c r="H214" t="str">
        <f>TEXT(Orders[[#This Row],[Order_Date]],"mmmm")</f>
        <v>October</v>
      </c>
      <c r="I214">
        <f>YEAR(Orders[[#This Row],[Order_Date]])</f>
        <v>2024</v>
      </c>
      <c r="J214" t="str">
        <f>"Q"&amp;ROUNDUP(MONTH(Orders[[#This Row],[Order_Date]])/3,0)</f>
        <v>Q4</v>
      </c>
      <c r="K214" s="2">
        <f>(Orders[[#This Row],[Profit]]/Orders[[#This Row],[Sales]])*100</f>
        <v>9.1742650078831964</v>
      </c>
    </row>
    <row r="215" spans="1:11" x14ac:dyDescent="0.3">
      <c r="A215" t="s">
        <v>459</v>
      </c>
      <c r="B215" s="1">
        <v>45551</v>
      </c>
      <c r="C215" t="s">
        <v>112</v>
      </c>
      <c r="D215" t="s">
        <v>241</v>
      </c>
      <c r="E215">
        <v>5</v>
      </c>
      <c r="F215">
        <v>41810</v>
      </c>
      <c r="G215">
        <v>9342.41</v>
      </c>
      <c r="H215" t="str">
        <f>TEXT(Orders[[#This Row],[Order_Date]],"mmmm")</f>
        <v>September</v>
      </c>
      <c r="I215">
        <f>YEAR(Orders[[#This Row],[Order_Date]])</f>
        <v>2024</v>
      </c>
      <c r="J215" t="str">
        <f>"Q"&amp;ROUNDUP(MONTH(Orders[[#This Row],[Order_Date]])/3,0)</f>
        <v>Q3</v>
      </c>
      <c r="K215" s="2">
        <f>(Orders[[#This Row],[Profit]]/Orders[[#This Row],[Sales]])*100</f>
        <v>22.344917483855536</v>
      </c>
    </row>
    <row r="216" spans="1:11" x14ac:dyDescent="0.3">
      <c r="A216" t="s">
        <v>460</v>
      </c>
      <c r="B216" s="1">
        <v>45520</v>
      </c>
      <c r="C216" t="s">
        <v>194</v>
      </c>
      <c r="D216" t="s">
        <v>245</v>
      </c>
      <c r="E216">
        <v>1</v>
      </c>
      <c r="F216">
        <v>24236</v>
      </c>
      <c r="G216">
        <v>4489.42</v>
      </c>
      <c r="H216" t="str">
        <f>TEXT(Orders[[#This Row],[Order_Date]],"mmmm")</f>
        <v>August</v>
      </c>
      <c r="I216">
        <f>YEAR(Orders[[#This Row],[Order_Date]])</f>
        <v>2024</v>
      </c>
      <c r="J216" t="str">
        <f>"Q"&amp;ROUNDUP(MONTH(Orders[[#This Row],[Order_Date]])/3,0)</f>
        <v>Q3</v>
      </c>
      <c r="K216" s="2">
        <f>(Orders[[#This Row],[Profit]]/Orders[[#This Row],[Sales]])*100</f>
        <v>18.523766298068988</v>
      </c>
    </row>
    <row r="217" spans="1:11" x14ac:dyDescent="0.3">
      <c r="A217" t="s">
        <v>461</v>
      </c>
      <c r="B217" s="1">
        <v>45588</v>
      </c>
      <c r="C217" t="s">
        <v>194</v>
      </c>
      <c r="D217" t="s">
        <v>260</v>
      </c>
      <c r="E217">
        <v>2</v>
      </c>
      <c r="F217">
        <v>111900</v>
      </c>
      <c r="G217">
        <v>10366.299999999999</v>
      </c>
      <c r="H217" t="str">
        <f>TEXT(Orders[[#This Row],[Order_Date]],"mmmm")</f>
        <v>October</v>
      </c>
      <c r="I217">
        <f>YEAR(Orders[[#This Row],[Order_Date]])</f>
        <v>2024</v>
      </c>
      <c r="J217" t="str">
        <f>"Q"&amp;ROUNDUP(MONTH(Orders[[#This Row],[Order_Date]])/3,0)</f>
        <v>Q4</v>
      </c>
      <c r="K217" s="2">
        <f>(Orders[[#This Row],[Profit]]/Orders[[#This Row],[Sales]])*100</f>
        <v>9.2638963360142981</v>
      </c>
    </row>
    <row r="218" spans="1:11" x14ac:dyDescent="0.3">
      <c r="A218" t="s">
        <v>462</v>
      </c>
      <c r="B218" s="1">
        <v>45463</v>
      </c>
      <c r="C218" t="s">
        <v>56</v>
      </c>
      <c r="D218" t="s">
        <v>263</v>
      </c>
      <c r="E218">
        <v>4</v>
      </c>
      <c r="F218">
        <v>28620</v>
      </c>
      <c r="G218">
        <v>6384.27</v>
      </c>
      <c r="H218" t="str">
        <f>TEXT(Orders[[#This Row],[Order_Date]],"mmmm")</f>
        <v>June</v>
      </c>
      <c r="I218">
        <f>YEAR(Orders[[#This Row],[Order_Date]])</f>
        <v>2024</v>
      </c>
      <c r="J218" t="str">
        <f>"Q"&amp;ROUNDUP(MONTH(Orders[[#This Row],[Order_Date]])/3,0)</f>
        <v>Q2</v>
      </c>
      <c r="K218" s="2">
        <f>(Orders[[#This Row],[Profit]]/Orders[[#This Row],[Sales]])*100</f>
        <v>22.307023060796645</v>
      </c>
    </row>
    <row r="219" spans="1:11" x14ac:dyDescent="0.3">
      <c r="A219" t="s">
        <v>463</v>
      </c>
      <c r="B219" s="1">
        <v>45487</v>
      </c>
      <c r="C219" t="s">
        <v>112</v>
      </c>
      <c r="D219" t="s">
        <v>279</v>
      </c>
      <c r="E219">
        <v>2</v>
      </c>
      <c r="F219">
        <v>12440</v>
      </c>
      <c r="G219">
        <v>1324.27</v>
      </c>
      <c r="H219" t="str">
        <f>TEXT(Orders[[#This Row],[Order_Date]],"mmmm")</f>
        <v>July</v>
      </c>
      <c r="I219">
        <f>YEAR(Orders[[#This Row],[Order_Date]])</f>
        <v>2024</v>
      </c>
      <c r="J219" t="str">
        <f>"Q"&amp;ROUNDUP(MONTH(Orders[[#This Row],[Order_Date]])/3,0)</f>
        <v>Q3</v>
      </c>
      <c r="K219" s="2">
        <f>(Orders[[#This Row],[Profit]]/Orders[[#This Row],[Sales]])*100</f>
        <v>10.645257234726687</v>
      </c>
    </row>
    <row r="220" spans="1:11" x14ac:dyDescent="0.3">
      <c r="A220" t="s">
        <v>464</v>
      </c>
      <c r="B220" s="1">
        <v>45366</v>
      </c>
      <c r="C220" t="s">
        <v>132</v>
      </c>
      <c r="D220" t="s">
        <v>229</v>
      </c>
      <c r="E220">
        <v>1</v>
      </c>
      <c r="F220">
        <v>8873</v>
      </c>
      <c r="G220">
        <v>2183.11</v>
      </c>
      <c r="H220" t="str">
        <f>TEXT(Orders[[#This Row],[Order_Date]],"mmmm")</f>
        <v>March</v>
      </c>
      <c r="I220">
        <f>YEAR(Orders[[#This Row],[Order_Date]])</f>
        <v>2024</v>
      </c>
      <c r="J220" t="str">
        <f>"Q"&amp;ROUNDUP(MONTH(Orders[[#This Row],[Order_Date]])/3,0)</f>
        <v>Q1</v>
      </c>
      <c r="K220" s="2">
        <f>(Orders[[#This Row],[Profit]]/Orders[[#This Row],[Sales]])*100</f>
        <v>24.603967091175477</v>
      </c>
    </row>
    <row r="221" spans="1:11" x14ac:dyDescent="0.3">
      <c r="A221" t="s">
        <v>465</v>
      </c>
      <c r="B221" s="1">
        <v>45567</v>
      </c>
      <c r="C221" t="s">
        <v>88</v>
      </c>
      <c r="D221" t="s">
        <v>279</v>
      </c>
      <c r="E221">
        <v>5</v>
      </c>
      <c r="F221">
        <v>31100</v>
      </c>
      <c r="G221">
        <v>7527.1</v>
      </c>
      <c r="H221" t="str">
        <f>TEXT(Orders[[#This Row],[Order_Date]],"mmmm")</f>
        <v>October</v>
      </c>
      <c r="I221">
        <f>YEAR(Orders[[#This Row],[Order_Date]])</f>
        <v>2024</v>
      </c>
      <c r="J221" t="str">
        <f>"Q"&amp;ROUNDUP(MONTH(Orders[[#This Row],[Order_Date]])/3,0)</f>
        <v>Q4</v>
      </c>
      <c r="K221" s="2">
        <f>(Orders[[#This Row],[Profit]]/Orders[[#This Row],[Sales]])*100</f>
        <v>24.202893890675242</v>
      </c>
    </row>
    <row r="222" spans="1:11" x14ac:dyDescent="0.3">
      <c r="A222" t="s">
        <v>466</v>
      </c>
      <c r="B222" s="1">
        <v>45343</v>
      </c>
      <c r="C222" t="s">
        <v>13</v>
      </c>
      <c r="D222" t="s">
        <v>260</v>
      </c>
      <c r="E222">
        <v>4</v>
      </c>
      <c r="F222">
        <v>223800</v>
      </c>
      <c r="G222">
        <v>46323.93</v>
      </c>
      <c r="H222" t="str">
        <f>TEXT(Orders[[#This Row],[Order_Date]],"mmmm")</f>
        <v>February</v>
      </c>
      <c r="I222">
        <f>YEAR(Orders[[#This Row],[Order_Date]])</f>
        <v>2024</v>
      </c>
      <c r="J222" t="str">
        <f>"Q"&amp;ROUNDUP(MONTH(Orders[[#This Row],[Order_Date]])/3,0)</f>
        <v>Q1</v>
      </c>
      <c r="K222" s="2">
        <f>(Orders[[#This Row],[Profit]]/Orders[[#This Row],[Sales]])*100</f>
        <v>20.698806970509384</v>
      </c>
    </row>
    <row r="223" spans="1:11" x14ac:dyDescent="0.3">
      <c r="A223" t="s">
        <v>467</v>
      </c>
      <c r="B223" s="1">
        <v>45508</v>
      </c>
      <c r="C223" t="s">
        <v>136</v>
      </c>
      <c r="D223" t="s">
        <v>344</v>
      </c>
      <c r="E223">
        <v>4</v>
      </c>
      <c r="F223">
        <v>36404</v>
      </c>
      <c r="G223">
        <v>6616.61</v>
      </c>
      <c r="H223" t="str">
        <f>TEXT(Orders[[#This Row],[Order_Date]],"mmmm")</f>
        <v>August</v>
      </c>
      <c r="I223">
        <f>YEAR(Orders[[#This Row],[Order_Date]])</f>
        <v>2024</v>
      </c>
      <c r="J223" t="str">
        <f>"Q"&amp;ROUNDUP(MONTH(Orders[[#This Row],[Order_Date]])/3,0)</f>
        <v>Q3</v>
      </c>
      <c r="K223" s="2">
        <f>(Orders[[#This Row],[Profit]]/Orders[[#This Row],[Sales]])*100</f>
        <v>18.175502692011865</v>
      </c>
    </row>
    <row r="224" spans="1:11" x14ac:dyDescent="0.3">
      <c r="A224" t="s">
        <v>468</v>
      </c>
      <c r="B224" s="1">
        <v>45528</v>
      </c>
      <c r="C224" t="s">
        <v>90</v>
      </c>
      <c r="D224" t="s">
        <v>253</v>
      </c>
      <c r="E224">
        <v>4</v>
      </c>
      <c r="F224">
        <v>24100</v>
      </c>
      <c r="G224">
        <v>3591.93</v>
      </c>
      <c r="H224" t="str">
        <f>TEXT(Orders[[#This Row],[Order_Date]],"mmmm")</f>
        <v>August</v>
      </c>
      <c r="I224">
        <f>YEAR(Orders[[#This Row],[Order_Date]])</f>
        <v>2024</v>
      </c>
      <c r="J224" t="str">
        <f>"Q"&amp;ROUNDUP(MONTH(Orders[[#This Row],[Order_Date]])/3,0)</f>
        <v>Q3</v>
      </c>
      <c r="K224" s="2">
        <f>(Orders[[#This Row],[Profit]]/Orders[[#This Row],[Sales]])*100</f>
        <v>14.90427385892116</v>
      </c>
    </row>
    <row r="225" spans="1:11" x14ac:dyDescent="0.3">
      <c r="A225" t="s">
        <v>469</v>
      </c>
      <c r="B225" s="1">
        <v>45622</v>
      </c>
      <c r="C225" t="s">
        <v>29</v>
      </c>
      <c r="D225" t="s">
        <v>239</v>
      </c>
      <c r="E225">
        <v>4</v>
      </c>
      <c r="F225">
        <v>100636</v>
      </c>
      <c r="G225">
        <v>21380.5</v>
      </c>
      <c r="H225" t="str">
        <f>TEXT(Orders[[#This Row],[Order_Date]],"mmmm")</f>
        <v>November</v>
      </c>
      <c r="I225">
        <f>YEAR(Orders[[#This Row],[Order_Date]])</f>
        <v>2024</v>
      </c>
      <c r="J225" t="str">
        <f>"Q"&amp;ROUNDUP(MONTH(Orders[[#This Row],[Order_Date]])/3,0)</f>
        <v>Q4</v>
      </c>
      <c r="K225" s="2">
        <f>(Orders[[#This Row],[Profit]]/Orders[[#This Row],[Sales]])*100</f>
        <v>21.245379387098058</v>
      </c>
    </row>
    <row r="226" spans="1:11" x14ac:dyDescent="0.3">
      <c r="A226" t="s">
        <v>470</v>
      </c>
      <c r="B226" s="1">
        <v>45592</v>
      </c>
      <c r="C226" t="s">
        <v>200</v>
      </c>
      <c r="D226" t="s">
        <v>344</v>
      </c>
      <c r="E226">
        <v>1</v>
      </c>
      <c r="F226">
        <v>9101</v>
      </c>
      <c r="G226">
        <v>2014.96</v>
      </c>
      <c r="H226" t="str">
        <f>TEXT(Orders[[#This Row],[Order_Date]],"mmmm")</f>
        <v>October</v>
      </c>
      <c r="I226">
        <f>YEAR(Orders[[#This Row],[Order_Date]])</f>
        <v>2024</v>
      </c>
      <c r="J226" t="str">
        <f>"Q"&amp;ROUNDUP(MONTH(Orders[[#This Row],[Order_Date]])/3,0)</f>
        <v>Q4</v>
      </c>
      <c r="K226" s="2">
        <f>(Orders[[#This Row],[Profit]]/Orders[[#This Row],[Sales]])*100</f>
        <v>22.139984617075047</v>
      </c>
    </row>
    <row r="227" spans="1:11" x14ac:dyDescent="0.3">
      <c r="A227" t="s">
        <v>471</v>
      </c>
      <c r="B227" s="1">
        <v>45574</v>
      </c>
      <c r="C227" t="s">
        <v>54</v>
      </c>
      <c r="D227" t="s">
        <v>255</v>
      </c>
      <c r="E227">
        <v>5</v>
      </c>
      <c r="F227">
        <v>128040</v>
      </c>
      <c r="G227">
        <v>26855.69</v>
      </c>
      <c r="H227" t="str">
        <f>TEXT(Orders[[#This Row],[Order_Date]],"mmmm")</f>
        <v>October</v>
      </c>
      <c r="I227">
        <f>YEAR(Orders[[#This Row],[Order_Date]])</f>
        <v>2024</v>
      </c>
      <c r="J227" t="str">
        <f>"Q"&amp;ROUNDUP(MONTH(Orders[[#This Row],[Order_Date]])/3,0)</f>
        <v>Q4</v>
      </c>
      <c r="K227" s="2">
        <f>(Orders[[#This Row],[Profit]]/Orders[[#This Row],[Sales]])*100</f>
        <v>20.974453295845048</v>
      </c>
    </row>
    <row r="228" spans="1:11" x14ac:dyDescent="0.3">
      <c r="A228" t="s">
        <v>472</v>
      </c>
      <c r="B228" s="1">
        <v>45649</v>
      </c>
      <c r="C228" t="s">
        <v>88</v>
      </c>
      <c r="D228" t="s">
        <v>245</v>
      </c>
      <c r="E228">
        <v>3</v>
      </c>
      <c r="F228">
        <v>72708</v>
      </c>
      <c r="G228">
        <v>15730.72</v>
      </c>
      <c r="H228" t="str">
        <f>TEXT(Orders[[#This Row],[Order_Date]],"mmmm")</f>
        <v>December</v>
      </c>
      <c r="I228">
        <f>YEAR(Orders[[#This Row],[Order_Date]])</f>
        <v>2024</v>
      </c>
      <c r="J228" t="str">
        <f>"Q"&amp;ROUNDUP(MONTH(Orders[[#This Row],[Order_Date]])/3,0)</f>
        <v>Q4</v>
      </c>
      <c r="K228" s="2">
        <f>(Orders[[#This Row],[Profit]]/Orders[[#This Row],[Sales]])*100</f>
        <v>21.635473400451119</v>
      </c>
    </row>
    <row r="229" spans="1:11" x14ac:dyDescent="0.3">
      <c r="A229" t="s">
        <v>473</v>
      </c>
      <c r="B229" s="1">
        <v>45475</v>
      </c>
      <c r="C229" t="s">
        <v>82</v>
      </c>
      <c r="D229" t="s">
        <v>235</v>
      </c>
      <c r="E229">
        <v>2</v>
      </c>
      <c r="F229">
        <v>22684</v>
      </c>
      <c r="G229">
        <v>2221.71</v>
      </c>
      <c r="H229" t="str">
        <f>TEXT(Orders[[#This Row],[Order_Date]],"mmmm")</f>
        <v>July</v>
      </c>
      <c r="I229">
        <f>YEAR(Orders[[#This Row],[Order_Date]])</f>
        <v>2024</v>
      </c>
      <c r="J229" t="str">
        <f>"Q"&amp;ROUNDUP(MONTH(Orders[[#This Row],[Order_Date]])/3,0)</f>
        <v>Q3</v>
      </c>
      <c r="K229" s="2">
        <f>(Orders[[#This Row],[Profit]]/Orders[[#This Row],[Sales]])*100</f>
        <v>9.7941721036854172</v>
      </c>
    </row>
    <row r="230" spans="1:11" x14ac:dyDescent="0.3">
      <c r="A230" t="s">
        <v>474</v>
      </c>
      <c r="B230" s="1">
        <v>45452</v>
      </c>
      <c r="C230" t="s">
        <v>60</v>
      </c>
      <c r="D230" t="s">
        <v>239</v>
      </c>
      <c r="E230">
        <v>1</v>
      </c>
      <c r="F230">
        <v>25159</v>
      </c>
      <c r="G230">
        <v>5931.94</v>
      </c>
      <c r="H230" t="str">
        <f>TEXT(Orders[[#This Row],[Order_Date]],"mmmm")</f>
        <v>June</v>
      </c>
      <c r="I230">
        <f>YEAR(Orders[[#This Row],[Order_Date]])</f>
        <v>2024</v>
      </c>
      <c r="J230" t="str">
        <f>"Q"&amp;ROUNDUP(MONTH(Orders[[#This Row],[Order_Date]])/3,0)</f>
        <v>Q2</v>
      </c>
      <c r="K230" s="2">
        <f>(Orders[[#This Row],[Profit]]/Orders[[#This Row],[Sales]])*100</f>
        <v>23.577805159187566</v>
      </c>
    </row>
    <row r="231" spans="1:11" x14ac:dyDescent="0.3">
      <c r="A231" t="s">
        <v>475</v>
      </c>
      <c r="B231" s="1">
        <v>45320</v>
      </c>
      <c r="C231" t="s">
        <v>128</v>
      </c>
      <c r="D231" t="s">
        <v>253</v>
      </c>
      <c r="E231">
        <v>3</v>
      </c>
      <c r="F231">
        <v>18075</v>
      </c>
      <c r="G231">
        <v>3466.5</v>
      </c>
      <c r="H231" t="str">
        <f>TEXT(Orders[[#This Row],[Order_Date]],"mmmm")</f>
        <v>January</v>
      </c>
      <c r="I231">
        <f>YEAR(Orders[[#This Row],[Order_Date]])</f>
        <v>2024</v>
      </c>
      <c r="J231" t="str">
        <f>"Q"&amp;ROUNDUP(MONTH(Orders[[#This Row],[Order_Date]])/3,0)</f>
        <v>Q1</v>
      </c>
      <c r="K231" s="2">
        <f>(Orders[[#This Row],[Profit]]/Orders[[#This Row],[Sales]])*100</f>
        <v>19.178423236514522</v>
      </c>
    </row>
    <row r="232" spans="1:11" x14ac:dyDescent="0.3">
      <c r="A232" t="s">
        <v>476</v>
      </c>
      <c r="B232" s="1">
        <v>45442</v>
      </c>
      <c r="C232" t="s">
        <v>176</v>
      </c>
      <c r="D232" t="s">
        <v>283</v>
      </c>
      <c r="E232">
        <v>4</v>
      </c>
      <c r="F232">
        <v>216748</v>
      </c>
      <c r="G232">
        <v>31205.55</v>
      </c>
      <c r="H232" t="str">
        <f>TEXT(Orders[[#This Row],[Order_Date]],"mmmm")</f>
        <v>May</v>
      </c>
      <c r="I232">
        <f>YEAR(Orders[[#This Row],[Order_Date]])</f>
        <v>2024</v>
      </c>
      <c r="J232" t="str">
        <f>"Q"&amp;ROUNDUP(MONTH(Orders[[#This Row],[Order_Date]])/3,0)</f>
        <v>Q2</v>
      </c>
      <c r="K232" s="2">
        <f>(Orders[[#This Row],[Profit]]/Orders[[#This Row],[Sales]])*100</f>
        <v>14.397157067193239</v>
      </c>
    </row>
    <row r="233" spans="1:11" x14ac:dyDescent="0.3">
      <c r="A233" t="s">
        <v>477</v>
      </c>
      <c r="B233" s="1">
        <v>45413</v>
      </c>
      <c r="C233" t="s">
        <v>212</v>
      </c>
      <c r="D233" t="s">
        <v>233</v>
      </c>
      <c r="E233">
        <v>4</v>
      </c>
      <c r="F233">
        <v>222780</v>
      </c>
      <c r="G233">
        <v>48052</v>
      </c>
      <c r="H233" t="str">
        <f>TEXT(Orders[[#This Row],[Order_Date]],"mmmm")</f>
        <v>May</v>
      </c>
      <c r="I233">
        <f>YEAR(Orders[[#This Row],[Order_Date]])</f>
        <v>2024</v>
      </c>
      <c r="J233" t="str">
        <f>"Q"&amp;ROUNDUP(MONTH(Orders[[#This Row],[Order_Date]])/3,0)</f>
        <v>Q2</v>
      </c>
      <c r="K233" s="2">
        <f>(Orders[[#This Row],[Profit]]/Orders[[#This Row],[Sales]])*100</f>
        <v>21.5692611545022</v>
      </c>
    </row>
    <row r="234" spans="1:11" x14ac:dyDescent="0.3">
      <c r="A234" t="s">
        <v>478</v>
      </c>
      <c r="B234" s="1">
        <v>45466</v>
      </c>
      <c r="C234" t="s">
        <v>182</v>
      </c>
      <c r="D234" t="s">
        <v>235</v>
      </c>
      <c r="E234">
        <v>5</v>
      </c>
      <c r="F234">
        <v>56710</v>
      </c>
      <c r="G234">
        <v>5928.66</v>
      </c>
      <c r="H234" t="str">
        <f>TEXT(Orders[[#This Row],[Order_Date]],"mmmm")</f>
        <v>June</v>
      </c>
      <c r="I234">
        <f>YEAR(Orders[[#This Row],[Order_Date]])</f>
        <v>2024</v>
      </c>
      <c r="J234" t="str">
        <f>"Q"&amp;ROUNDUP(MONTH(Orders[[#This Row],[Order_Date]])/3,0)</f>
        <v>Q2</v>
      </c>
      <c r="K234" s="2">
        <f>(Orders[[#This Row],[Profit]]/Orders[[#This Row],[Sales]])*100</f>
        <v>10.454346676071239</v>
      </c>
    </row>
    <row r="235" spans="1:11" x14ac:dyDescent="0.3">
      <c r="A235" t="s">
        <v>479</v>
      </c>
      <c r="B235" s="1">
        <v>45621</v>
      </c>
      <c r="C235" t="s">
        <v>192</v>
      </c>
      <c r="D235" t="s">
        <v>239</v>
      </c>
      <c r="E235">
        <v>5</v>
      </c>
      <c r="F235">
        <v>125795</v>
      </c>
      <c r="G235">
        <v>13746.11</v>
      </c>
      <c r="H235" t="str">
        <f>TEXT(Orders[[#This Row],[Order_Date]],"mmmm")</f>
        <v>November</v>
      </c>
      <c r="I235">
        <f>YEAR(Orders[[#This Row],[Order_Date]])</f>
        <v>2024</v>
      </c>
      <c r="J235" t="str">
        <f>"Q"&amp;ROUNDUP(MONTH(Orders[[#This Row],[Order_Date]])/3,0)</f>
        <v>Q4</v>
      </c>
      <c r="K235" s="2">
        <f>(Orders[[#This Row],[Profit]]/Orders[[#This Row],[Sales]])*100</f>
        <v>10.927389800866489</v>
      </c>
    </row>
    <row r="236" spans="1:11" x14ac:dyDescent="0.3">
      <c r="A236" t="s">
        <v>480</v>
      </c>
      <c r="B236" s="1">
        <v>45354</v>
      </c>
      <c r="C236" t="s">
        <v>180</v>
      </c>
      <c r="D236" t="s">
        <v>316</v>
      </c>
      <c r="E236">
        <v>3</v>
      </c>
      <c r="F236">
        <v>163152</v>
      </c>
      <c r="G236">
        <v>34061.370000000003</v>
      </c>
      <c r="H236" t="str">
        <f>TEXT(Orders[[#This Row],[Order_Date]],"mmmm")</f>
        <v>March</v>
      </c>
      <c r="I236">
        <f>YEAR(Orders[[#This Row],[Order_Date]])</f>
        <v>2024</v>
      </c>
      <c r="J236" t="str">
        <f>"Q"&amp;ROUNDUP(MONTH(Orders[[#This Row],[Order_Date]])/3,0)</f>
        <v>Q1</v>
      </c>
      <c r="K236" s="2">
        <f>(Orders[[#This Row],[Profit]]/Orders[[#This Row],[Sales]])*100</f>
        <v>20.877077817005002</v>
      </c>
    </row>
    <row r="237" spans="1:11" x14ac:dyDescent="0.3">
      <c r="A237" t="s">
        <v>481</v>
      </c>
      <c r="B237" s="1">
        <v>45488</v>
      </c>
      <c r="C237" t="s">
        <v>168</v>
      </c>
      <c r="D237" t="s">
        <v>344</v>
      </c>
      <c r="E237">
        <v>4</v>
      </c>
      <c r="F237">
        <v>36404</v>
      </c>
      <c r="G237">
        <v>8465.4599999999991</v>
      </c>
      <c r="H237" t="str">
        <f>TEXT(Orders[[#This Row],[Order_Date]],"mmmm")</f>
        <v>July</v>
      </c>
      <c r="I237">
        <f>YEAR(Orders[[#This Row],[Order_Date]])</f>
        <v>2024</v>
      </c>
      <c r="J237" t="str">
        <f>"Q"&amp;ROUNDUP(MONTH(Orders[[#This Row],[Order_Date]])/3,0)</f>
        <v>Q3</v>
      </c>
      <c r="K237" s="2">
        <f>(Orders[[#This Row],[Profit]]/Orders[[#This Row],[Sales]])*100</f>
        <v>23.254202834853309</v>
      </c>
    </row>
    <row r="238" spans="1:11" x14ac:dyDescent="0.3">
      <c r="A238" t="s">
        <v>482</v>
      </c>
      <c r="B238" s="1">
        <v>45343</v>
      </c>
      <c r="C238" t="s">
        <v>180</v>
      </c>
      <c r="D238" t="s">
        <v>257</v>
      </c>
      <c r="E238">
        <v>4</v>
      </c>
      <c r="F238">
        <v>26988</v>
      </c>
      <c r="G238">
        <v>5446.73</v>
      </c>
      <c r="H238" t="str">
        <f>TEXT(Orders[[#This Row],[Order_Date]],"mmmm")</f>
        <v>February</v>
      </c>
      <c r="I238">
        <f>YEAR(Orders[[#This Row],[Order_Date]])</f>
        <v>2024</v>
      </c>
      <c r="J238" t="str">
        <f>"Q"&amp;ROUNDUP(MONTH(Orders[[#This Row],[Order_Date]])/3,0)</f>
        <v>Q1</v>
      </c>
      <c r="K238" s="2">
        <f>(Orders[[#This Row],[Profit]]/Orders[[#This Row],[Sales]])*100</f>
        <v>20.182043871350228</v>
      </c>
    </row>
    <row r="239" spans="1:11" x14ac:dyDescent="0.3">
      <c r="A239" t="s">
        <v>483</v>
      </c>
      <c r="B239" s="1">
        <v>45638</v>
      </c>
      <c r="C239" t="s">
        <v>82</v>
      </c>
      <c r="D239" t="s">
        <v>233</v>
      </c>
      <c r="E239">
        <v>3</v>
      </c>
      <c r="F239">
        <v>167085</v>
      </c>
      <c r="G239">
        <v>32017.599999999999</v>
      </c>
      <c r="H239" t="str">
        <f>TEXT(Orders[[#This Row],[Order_Date]],"mmmm")</f>
        <v>December</v>
      </c>
      <c r="I239">
        <f>YEAR(Orders[[#This Row],[Order_Date]])</f>
        <v>2024</v>
      </c>
      <c r="J239" t="str">
        <f>"Q"&amp;ROUNDUP(MONTH(Orders[[#This Row],[Order_Date]])/3,0)</f>
        <v>Q4</v>
      </c>
      <c r="K239" s="2">
        <f>(Orders[[#This Row],[Profit]]/Orders[[#This Row],[Sales]])*100</f>
        <v>19.162462219828232</v>
      </c>
    </row>
    <row r="240" spans="1:11" x14ac:dyDescent="0.3">
      <c r="A240" t="s">
        <v>484</v>
      </c>
      <c r="B240" s="1">
        <v>45631</v>
      </c>
      <c r="C240" t="s">
        <v>138</v>
      </c>
      <c r="D240" t="s">
        <v>316</v>
      </c>
      <c r="E240">
        <v>3</v>
      </c>
      <c r="F240">
        <v>163152</v>
      </c>
      <c r="G240">
        <v>26715.53</v>
      </c>
      <c r="H240" t="str">
        <f>TEXT(Orders[[#This Row],[Order_Date]],"mmmm")</f>
        <v>December</v>
      </c>
      <c r="I240">
        <f>YEAR(Orders[[#This Row],[Order_Date]])</f>
        <v>2024</v>
      </c>
      <c r="J240" t="str">
        <f>"Q"&amp;ROUNDUP(MONTH(Orders[[#This Row],[Order_Date]])/3,0)</f>
        <v>Q4</v>
      </c>
      <c r="K240" s="2">
        <f>(Orders[[#This Row],[Profit]]/Orders[[#This Row],[Sales]])*100</f>
        <v>16.374626115524173</v>
      </c>
    </row>
    <row r="241" spans="1:11" x14ac:dyDescent="0.3">
      <c r="A241" t="s">
        <v>485</v>
      </c>
      <c r="B241" s="1">
        <v>45569</v>
      </c>
      <c r="C241" t="s">
        <v>204</v>
      </c>
      <c r="D241" t="s">
        <v>263</v>
      </c>
      <c r="E241">
        <v>4</v>
      </c>
      <c r="F241">
        <v>28620</v>
      </c>
      <c r="G241">
        <v>4433.32</v>
      </c>
      <c r="H241" t="str">
        <f>TEXT(Orders[[#This Row],[Order_Date]],"mmmm")</f>
        <v>October</v>
      </c>
      <c r="I241">
        <f>YEAR(Orders[[#This Row],[Order_Date]])</f>
        <v>2024</v>
      </c>
      <c r="J241" t="str">
        <f>"Q"&amp;ROUNDUP(MONTH(Orders[[#This Row],[Order_Date]])/3,0)</f>
        <v>Q4</v>
      </c>
      <c r="K241" s="2">
        <f>(Orders[[#This Row],[Profit]]/Orders[[#This Row],[Sales]])*100</f>
        <v>15.490286512928023</v>
      </c>
    </row>
    <row r="242" spans="1:11" x14ac:dyDescent="0.3">
      <c r="A242" t="s">
        <v>486</v>
      </c>
      <c r="B242" s="1">
        <v>45356</v>
      </c>
      <c r="C242" t="s">
        <v>49</v>
      </c>
      <c r="D242" t="s">
        <v>245</v>
      </c>
      <c r="E242">
        <v>4</v>
      </c>
      <c r="F242">
        <v>96944</v>
      </c>
      <c r="G242">
        <v>23029.15</v>
      </c>
      <c r="H242" t="str">
        <f>TEXT(Orders[[#This Row],[Order_Date]],"mmmm")</f>
        <v>March</v>
      </c>
      <c r="I242">
        <f>YEAR(Orders[[#This Row],[Order_Date]])</f>
        <v>2024</v>
      </c>
      <c r="J242" t="str">
        <f>"Q"&amp;ROUNDUP(MONTH(Orders[[#This Row],[Order_Date]])/3,0)</f>
        <v>Q1</v>
      </c>
      <c r="K242" s="2">
        <f>(Orders[[#This Row],[Profit]]/Orders[[#This Row],[Sales]])*100</f>
        <v>23.755106040600758</v>
      </c>
    </row>
    <row r="243" spans="1:11" x14ac:dyDescent="0.3">
      <c r="A243" t="s">
        <v>487</v>
      </c>
      <c r="B243" s="1">
        <v>45305</v>
      </c>
      <c r="C243" t="s">
        <v>58</v>
      </c>
      <c r="D243" t="s">
        <v>344</v>
      </c>
      <c r="E243">
        <v>4</v>
      </c>
      <c r="F243">
        <v>36404</v>
      </c>
      <c r="G243">
        <v>5478.25</v>
      </c>
      <c r="H243" t="str">
        <f>TEXT(Orders[[#This Row],[Order_Date]],"mmmm")</f>
        <v>January</v>
      </c>
      <c r="I243">
        <f>YEAR(Orders[[#This Row],[Order_Date]])</f>
        <v>2024</v>
      </c>
      <c r="J243" t="str">
        <f>"Q"&amp;ROUNDUP(MONTH(Orders[[#This Row],[Order_Date]])/3,0)</f>
        <v>Q1</v>
      </c>
      <c r="K243" s="2">
        <f>(Orders[[#This Row],[Profit]]/Orders[[#This Row],[Sales]])*100</f>
        <v>15.048483683111746</v>
      </c>
    </row>
    <row r="244" spans="1:11" x14ac:dyDescent="0.3">
      <c r="A244" t="s">
        <v>488</v>
      </c>
      <c r="B244" s="1">
        <v>45485</v>
      </c>
      <c r="C244" t="s">
        <v>186</v>
      </c>
      <c r="D244" t="s">
        <v>237</v>
      </c>
      <c r="E244">
        <v>2</v>
      </c>
      <c r="F244">
        <v>17252</v>
      </c>
      <c r="G244">
        <v>2725.74</v>
      </c>
      <c r="H244" t="str">
        <f>TEXT(Orders[[#This Row],[Order_Date]],"mmmm")</f>
        <v>July</v>
      </c>
      <c r="I244">
        <f>YEAR(Orders[[#This Row],[Order_Date]])</f>
        <v>2024</v>
      </c>
      <c r="J244" t="str">
        <f>"Q"&amp;ROUNDUP(MONTH(Orders[[#This Row],[Order_Date]])/3,0)</f>
        <v>Q3</v>
      </c>
      <c r="K244" s="2">
        <f>(Orders[[#This Row],[Profit]]/Orders[[#This Row],[Sales]])*100</f>
        <v>15.799559471365637</v>
      </c>
    </row>
    <row r="245" spans="1:11" x14ac:dyDescent="0.3">
      <c r="A245" t="s">
        <v>489</v>
      </c>
      <c r="B245" s="1">
        <v>45370</v>
      </c>
      <c r="C245" t="s">
        <v>190</v>
      </c>
      <c r="D245" t="s">
        <v>255</v>
      </c>
      <c r="E245">
        <v>3</v>
      </c>
      <c r="F245">
        <v>76824</v>
      </c>
      <c r="G245">
        <v>18134.53</v>
      </c>
      <c r="H245" t="str">
        <f>TEXT(Orders[[#This Row],[Order_Date]],"mmmm")</f>
        <v>March</v>
      </c>
      <c r="I245">
        <f>YEAR(Orders[[#This Row],[Order_Date]])</f>
        <v>2024</v>
      </c>
      <c r="J245" t="str">
        <f>"Q"&amp;ROUNDUP(MONTH(Orders[[#This Row],[Order_Date]])/3,0)</f>
        <v>Q1</v>
      </c>
      <c r="K245" s="2">
        <f>(Orders[[#This Row],[Profit]]/Orders[[#This Row],[Sales]])*100</f>
        <v>23.605292616890551</v>
      </c>
    </row>
    <row r="246" spans="1:11" x14ac:dyDescent="0.3">
      <c r="A246" t="s">
        <v>490</v>
      </c>
      <c r="B246" s="1">
        <v>45495</v>
      </c>
      <c r="C246" t="s">
        <v>154</v>
      </c>
      <c r="D246" t="s">
        <v>239</v>
      </c>
      <c r="E246">
        <v>3</v>
      </c>
      <c r="F246">
        <v>75477</v>
      </c>
      <c r="G246">
        <v>6279.22</v>
      </c>
      <c r="H246" t="str">
        <f>TEXT(Orders[[#This Row],[Order_Date]],"mmmm")</f>
        <v>July</v>
      </c>
      <c r="I246">
        <f>YEAR(Orders[[#This Row],[Order_Date]])</f>
        <v>2024</v>
      </c>
      <c r="J246" t="str">
        <f>"Q"&amp;ROUNDUP(MONTH(Orders[[#This Row],[Order_Date]])/3,0)</f>
        <v>Q3</v>
      </c>
      <c r="K246" s="2">
        <f>(Orders[[#This Row],[Profit]]/Orders[[#This Row],[Sales]])*100</f>
        <v>8.3193820634100462</v>
      </c>
    </row>
    <row r="247" spans="1:11" x14ac:dyDescent="0.3">
      <c r="A247" t="s">
        <v>491</v>
      </c>
      <c r="B247" s="1">
        <v>45294</v>
      </c>
      <c r="C247" t="s">
        <v>182</v>
      </c>
      <c r="D247" t="s">
        <v>227</v>
      </c>
      <c r="E247">
        <v>5</v>
      </c>
      <c r="F247">
        <v>46970</v>
      </c>
      <c r="G247">
        <v>9311.16</v>
      </c>
      <c r="H247" t="str">
        <f>TEXT(Orders[[#This Row],[Order_Date]],"mmmm")</f>
        <v>January</v>
      </c>
      <c r="I247">
        <f>YEAR(Orders[[#This Row],[Order_Date]])</f>
        <v>2024</v>
      </c>
      <c r="J247" t="str">
        <f>"Q"&amp;ROUNDUP(MONTH(Orders[[#This Row],[Order_Date]])/3,0)</f>
        <v>Q1</v>
      </c>
      <c r="K247" s="2">
        <f>(Orders[[#This Row],[Profit]]/Orders[[#This Row],[Sales]])*100</f>
        <v>19.823632105599316</v>
      </c>
    </row>
    <row r="248" spans="1:11" x14ac:dyDescent="0.3">
      <c r="A248" t="s">
        <v>492</v>
      </c>
      <c r="B248" s="1">
        <v>45631</v>
      </c>
      <c r="C248" t="s">
        <v>158</v>
      </c>
      <c r="D248" t="s">
        <v>227</v>
      </c>
      <c r="E248">
        <v>4</v>
      </c>
      <c r="F248">
        <v>37576</v>
      </c>
      <c r="G248">
        <v>8801.5</v>
      </c>
      <c r="H248" t="str">
        <f>TEXT(Orders[[#This Row],[Order_Date]],"mmmm")</f>
        <v>December</v>
      </c>
      <c r="I248">
        <f>YEAR(Orders[[#This Row],[Order_Date]])</f>
        <v>2024</v>
      </c>
      <c r="J248" t="str">
        <f>"Q"&amp;ROUNDUP(MONTH(Orders[[#This Row],[Order_Date]])/3,0)</f>
        <v>Q4</v>
      </c>
      <c r="K248" s="2">
        <f>(Orders[[#This Row],[Profit]]/Orders[[#This Row],[Sales]])*100</f>
        <v>23.423195656802214</v>
      </c>
    </row>
    <row r="249" spans="1:11" x14ac:dyDescent="0.3">
      <c r="A249" t="s">
        <v>493</v>
      </c>
      <c r="B249" s="1">
        <v>45566</v>
      </c>
      <c r="C249" t="s">
        <v>64</v>
      </c>
      <c r="D249" t="s">
        <v>233</v>
      </c>
      <c r="E249">
        <v>2</v>
      </c>
      <c r="F249">
        <v>111390</v>
      </c>
      <c r="G249">
        <v>10351.44</v>
      </c>
      <c r="H249" t="str">
        <f>TEXT(Orders[[#This Row],[Order_Date]],"mmmm")</f>
        <v>October</v>
      </c>
      <c r="I249">
        <f>YEAR(Orders[[#This Row],[Order_Date]])</f>
        <v>2024</v>
      </c>
      <c r="J249" t="str">
        <f>"Q"&amp;ROUNDUP(MONTH(Orders[[#This Row],[Order_Date]])/3,0)</f>
        <v>Q4</v>
      </c>
      <c r="K249" s="2">
        <f>(Orders[[#This Row],[Profit]]/Orders[[#This Row],[Sales]])*100</f>
        <v>9.2929706436843524</v>
      </c>
    </row>
    <row r="250" spans="1:11" x14ac:dyDescent="0.3">
      <c r="A250" t="s">
        <v>494</v>
      </c>
      <c r="B250" s="1">
        <v>45303</v>
      </c>
      <c r="C250" t="s">
        <v>162</v>
      </c>
      <c r="D250" t="s">
        <v>257</v>
      </c>
      <c r="E250">
        <v>2</v>
      </c>
      <c r="F250">
        <v>13494</v>
      </c>
      <c r="G250">
        <v>1941.33</v>
      </c>
      <c r="H250" t="str">
        <f>TEXT(Orders[[#This Row],[Order_Date]],"mmmm")</f>
        <v>January</v>
      </c>
      <c r="I250">
        <f>YEAR(Orders[[#This Row],[Order_Date]])</f>
        <v>2024</v>
      </c>
      <c r="J250" t="str">
        <f>"Q"&amp;ROUNDUP(MONTH(Orders[[#This Row],[Order_Date]])/3,0)</f>
        <v>Q1</v>
      </c>
      <c r="K250" s="2">
        <f>(Orders[[#This Row],[Profit]]/Orders[[#This Row],[Sales]])*100</f>
        <v>14.386616273899511</v>
      </c>
    </row>
    <row r="251" spans="1:11" x14ac:dyDescent="0.3">
      <c r="A251" t="s">
        <v>495</v>
      </c>
      <c r="B251" s="1">
        <v>45312</v>
      </c>
      <c r="C251" t="s">
        <v>150</v>
      </c>
      <c r="D251" t="s">
        <v>263</v>
      </c>
      <c r="E251">
        <v>4</v>
      </c>
      <c r="F251">
        <v>28620</v>
      </c>
      <c r="G251">
        <v>3436.19</v>
      </c>
      <c r="H251" t="str">
        <f>TEXT(Orders[[#This Row],[Order_Date]],"mmmm")</f>
        <v>January</v>
      </c>
      <c r="I251">
        <f>YEAR(Orders[[#This Row],[Order_Date]])</f>
        <v>2024</v>
      </c>
      <c r="J251" t="str">
        <f>"Q"&amp;ROUNDUP(MONTH(Orders[[#This Row],[Order_Date]])/3,0)</f>
        <v>Q1</v>
      </c>
      <c r="K251" s="2">
        <f>(Orders[[#This Row],[Profit]]/Orders[[#This Row],[Sales]])*100</f>
        <v>12.006254367575123</v>
      </c>
    </row>
    <row r="252" spans="1:11" x14ac:dyDescent="0.3">
      <c r="A252" t="s">
        <v>496</v>
      </c>
      <c r="B252" s="1">
        <v>45626</v>
      </c>
      <c r="C252" t="s">
        <v>152</v>
      </c>
      <c r="D252" t="s">
        <v>263</v>
      </c>
      <c r="E252">
        <v>5</v>
      </c>
      <c r="F252">
        <v>35775</v>
      </c>
      <c r="G252">
        <v>7062.14</v>
      </c>
      <c r="H252" t="str">
        <f>TEXT(Orders[[#This Row],[Order_Date]],"mmmm")</f>
        <v>November</v>
      </c>
      <c r="I252">
        <f>YEAR(Orders[[#This Row],[Order_Date]])</f>
        <v>2024</v>
      </c>
      <c r="J252" t="str">
        <f>"Q"&amp;ROUNDUP(MONTH(Orders[[#This Row],[Order_Date]])/3,0)</f>
        <v>Q4</v>
      </c>
      <c r="K252" s="2">
        <f>(Orders[[#This Row],[Profit]]/Orders[[#This Row],[Sales]])*100</f>
        <v>19.740433263452132</v>
      </c>
    </row>
    <row r="253" spans="1:11" x14ac:dyDescent="0.3">
      <c r="A253" t="s">
        <v>497</v>
      </c>
      <c r="B253" s="1">
        <v>45530</v>
      </c>
      <c r="C253" t="s">
        <v>156</v>
      </c>
      <c r="D253" t="s">
        <v>237</v>
      </c>
      <c r="E253">
        <v>2</v>
      </c>
      <c r="F253">
        <v>17252</v>
      </c>
      <c r="G253">
        <v>2547.91</v>
      </c>
      <c r="H253" t="str">
        <f>TEXT(Orders[[#This Row],[Order_Date]],"mmmm")</f>
        <v>August</v>
      </c>
      <c r="I253">
        <f>YEAR(Orders[[#This Row],[Order_Date]])</f>
        <v>2024</v>
      </c>
      <c r="J253" t="str">
        <f>"Q"&amp;ROUNDUP(MONTH(Orders[[#This Row],[Order_Date]])/3,0)</f>
        <v>Q3</v>
      </c>
      <c r="K253" s="2">
        <f>(Orders[[#This Row],[Profit]]/Orders[[#This Row],[Sales]])*100</f>
        <v>14.768780431254347</v>
      </c>
    </row>
    <row r="254" spans="1:11" x14ac:dyDescent="0.3">
      <c r="A254" t="s">
        <v>498</v>
      </c>
      <c r="B254" s="1">
        <v>45578</v>
      </c>
      <c r="C254" t="s">
        <v>49</v>
      </c>
      <c r="D254" t="s">
        <v>245</v>
      </c>
      <c r="E254">
        <v>1</v>
      </c>
      <c r="F254">
        <v>24236</v>
      </c>
      <c r="G254">
        <v>3533.31</v>
      </c>
      <c r="H254" t="str">
        <f>TEXT(Orders[[#This Row],[Order_Date]],"mmmm")</f>
        <v>October</v>
      </c>
      <c r="I254">
        <f>YEAR(Orders[[#This Row],[Order_Date]])</f>
        <v>2024</v>
      </c>
      <c r="J254" t="str">
        <f>"Q"&amp;ROUNDUP(MONTH(Orders[[#This Row],[Order_Date]])/3,0)</f>
        <v>Q4</v>
      </c>
      <c r="K254" s="2">
        <f>(Orders[[#This Row],[Profit]]/Orders[[#This Row],[Sales]])*100</f>
        <v>14.578767123287669</v>
      </c>
    </row>
    <row r="255" spans="1:11" x14ac:dyDescent="0.3">
      <c r="A255" t="s">
        <v>499</v>
      </c>
      <c r="B255" s="1">
        <v>45414</v>
      </c>
      <c r="C255" t="s">
        <v>43</v>
      </c>
      <c r="D255" t="s">
        <v>316</v>
      </c>
      <c r="E255">
        <v>1</v>
      </c>
      <c r="F255">
        <v>54384</v>
      </c>
      <c r="G255">
        <v>13393.47</v>
      </c>
      <c r="H255" t="str">
        <f>TEXT(Orders[[#This Row],[Order_Date]],"mmmm")</f>
        <v>May</v>
      </c>
      <c r="I255">
        <f>YEAR(Orders[[#This Row],[Order_Date]])</f>
        <v>2024</v>
      </c>
      <c r="J255" t="str">
        <f>"Q"&amp;ROUNDUP(MONTH(Orders[[#This Row],[Order_Date]])/3,0)</f>
        <v>Q2</v>
      </c>
      <c r="K255" s="2">
        <f>(Orders[[#This Row],[Profit]]/Orders[[#This Row],[Sales]])*100</f>
        <v>24.627592674315974</v>
      </c>
    </row>
    <row r="256" spans="1:11" x14ac:dyDescent="0.3">
      <c r="A256" t="s">
        <v>500</v>
      </c>
      <c r="B256" s="1">
        <v>45451</v>
      </c>
      <c r="C256" t="s">
        <v>218</v>
      </c>
      <c r="D256" t="s">
        <v>344</v>
      </c>
      <c r="E256">
        <v>1</v>
      </c>
      <c r="F256">
        <v>9101</v>
      </c>
      <c r="G256">
        <v>2206.0300000000002</v>
      </c>
      <c r="H256" t="str">
        <f>TEXT(Orders[[#This Row],[Order_Date]],"mmmm")</f>
        <v>June</v>
      </c>
      <c r="I256">
        <f>YEAR(Orders[[#This Row],[Order_Date]])</f>
        <v>2024</v>
      </c>
      <c r="J256" t="str">
        <f>"Q"&amp;ROUNDUP(MONTH(Orders[[#This Row],[Order_Date]])/3,0)</f>
        <v>Q2</v>
      </c>
      <c r="K256" s="2">
        <f>(Orders[[#This Row],[Profit]]/Orders[[#This Row],[Sales]])*100</f>
        <v>24.239424239094607</v>
      </c>
    </row>
    <row r="257" spans="1:11" x14ac:dyDescent="0.3">
      <c r="A257" t="s">
        <v>501</v>
      </c>
      <c r="B257" s="1">
        <v>45360</v>
      </c>
      <c r="C257" t="s">
        <v>138</v>
      </c>
      <c r="D257" t="s">
        <v>231</v>
      </c>
      <c r="E257">
        <v>4</v>
      </c>
      <c r="F257">
        <v>219748</v>
      </c>
      <c r="G257">
        <v>23807.21</v>
      </c>
      <c r="H257" t="str">
        <f>TEXT(Orders[[#This Row],[Order_Date]],"mmmm")</f>
        <v>March</v>
      </c>
      <c r="I257">
        <f>YEAR(Orders[[#This Row],[Order_Date]])</f>
        <v>2024</v>
      </c>
      <c r="J257" t="str">
        <f>"Q"&amp;ROUNDUP(MONTH(Orders[[#This Row],[Order_Date]])/3,0)</f>
        <v>Q1</v>
      </c>
      <c r="K257" s="2">
        <f>(Orders[[#This Row],[Profit]]/Orders[[#This Row],[Sales]])*100</f>
        <v>10.833868795165371</v>
      </c>
    </row>
    <row r="258" spans="1:11" x14ac:dyDescent="0.3">
      <c r="A258" t="s">
        <v>502</v>
      </c>
      <c r="B258" s="1">
        <v>45548</v>
      </c>
      <c r="C258" t="s">
        <v>162</v>
      </c>
      <c r="D258" t="s">
        <v>233</v>
      </c>
      <c r="E258">
        <v>5</v>
      </c>
      <c r="F258">
        <v>278475</v>
      </c>
      <c r="G258">
        <v>52410.49</v>
      </c>
      <c r="H258" t="str">
        <f>TEXT(Orders[[#This Row],[Order_Date]],"mmmm")</f>
        <v>September</v>
      </c>
      <c r="I258">
        <f>YEAR(Orders[[#This Row],[Order_Date]])</f>
        <v>2024</v>
      </c>
      <c r="J258" t="str">
        <f>"Q"&amp;ROUNDUP(MONTH(Orders[[#This Row],[Order_Date]])/3,0)</f>
        <v>Q3</v>
      </c>
      <c r="K258" s="2">
        <f>(Orders[[#This Row],[Profit]]/Orders[[#This Row],[Sales]])*100</f>
        <v>18.820536852500226</v>
      </c>
    </row>
    <row r="259" spans="1:11" x14ac:dyDescent="0.3">
      <c r="A259" t="s">
        <v>503</v>
      </c>
      <c r="B259" s="1">
        <v>45649</v>
      </c>
      <c r="C259" t="s">
        <v>126</v>
      </c>
      <c r="D259" t="s">
        <v>241</v>
      </c>
      <c r="E259">
        <v>2</v>
      </c>
      <c r="F259">
        <v>16724</v>
      </c>
      <c r="G259">
        <v>3324.9</v>
      </c>
      <c r="H259" t="str">
        <f>TEXT(Orders[[#This Row],[Order_Date]],"mmmm")</f>
        <v>December</v>
      </c>
      <c r="I259">
        <f>YEAR(Orders[[#This Row],[Order_Date]])</f>
        <v>2024</v>
      </c>
      <c r="J259" t="str">
        <f>"Q"&amp;ROUNDUP(MONTH(Orders[[#This Row],[Order_Date]])/3,0)</f>
        <v>Q4</v>
      </c>
      <c r="K259" s="2">
        <f>(Orders[[#This Row],[Profit]]/Orders[[#This Row],[Sales]])*100</f>
        <v>19.881009327911983</v>
      </c>
    </row>
    <row r="260" spans="1:11" x14ac:dyDescent="0.3">
      <c r="A260" t="s">
        <v>504</v>
      </c>
      <c r="B260" s="1">
        <v>45476</v>
      </c>
      <c r="C260" t="s">
        <v>118</v>
      </c>
      <c r="D260" t="s">
        <v>263</v>
      </c>
      <c r="E260">
        <v>4</v>
      </c>
      <c r="F260">
        <v>28620</v>
      </c>
      <c r="G260">
        <v>6264.24</v>
      </c>
      <c r="H260" t="str">
        <f>TEXT(Orders[[#This Row],[Order_Date]],"mmmm")</f>
        <v>July</v>
      </c>
      <c r="I260">
        <f>YEAR(Orders[[#This Row],[Order_Date]])</f>
        <v>2024</v>
      </c>
      <c r="J260" t="str">
        <f>"Q"&amp;ROUNDUP(MONTH(Orders[[#This Row],[Order_Date]])/3,0)</f>
        <v>Q3</v>
      </c>
      <c r="K260" s="2">
        <f>(Orders[[#This Row],[Profit]]/Orders[[#This Row],[Sales]])*100</f>
        <v>21.887631027253668</v>
      </c>
    </row>
    <row r="261" spans="1:11" x14ac:dyDescent="0.3">
      <c r="A261" t="s">
        <v>505</v>
      </c>
      <c r="B261" s="1">
        <v>45381</v>
      </c>
      <c r="C261" t="s">
        <v>58</v>
      </c>
      <c r="D261" t="s">
        <v>231</v>
      </c>
      <c r="E261">
        <v>5</v>
      </c>
      <c r="F261">
        <v>274685</v>
      </c>
      <c r="G261">
        <v>35025.910000000003</v>
      </c>
      <c r="H261" t="str">
        <f>TEXT(Orders[[#This Row],[Order_Date]],"mmmm")</f>
        <v>March</v>
      </c>
      <c r="I261">
        <f>YEAR(Orders[[#This Row],[Order_Date]])</f>
        <v>2024</v>
      </c>
      <c r="J261" t="str">
        <f>"Q"&amp;ROUNDUP(MONTH(Orders[[#This Row],[Order_Date]])/3,0)</f>
        <v>Q1</v>
      </c>
      <c r="K261" s="2">
        <f>(Orders[[#This Row],[Profit]]/Orders[[#This Row],[Sales]])*100</f>
        <v>12.751300580665125</v>
      </c>
    </row>
    <row r="262" spans="1:11" x14ac:dyDescent="0.3">
      <c r="A262" t="s">
        <v>506</v>
      </c>
      <c r="B262" s="1">
        <v>45464</v>
      </c>
      <c r="C262" t="s">
        <v>218</v>
      </c>
      <c r="D262" t="s">
        <v>235</v>
      </c>
      <c r="E262">
        <v>1</v>
      </c>
      <c r="F262">
        <v>11342</v>
      </c>
      <c r="G262">
        <v>2316.9</v>
      </c>
      <c r="H262" t="str">
        <f>TEXT(Orders[[#This Row],[Order_Date]],"mmmm")</f>
        <v>June</v>
      </c>
      <c r="I262">
        <f>YEAR(Orders[[#This Row],[Order_Date]])</f>
        <v>2024</v>
      </c>
      <c r="J262" t="str">
        <f>"Q"&amp;ROUNDUP(MONTH(Orders[[#This Row],[Order_Date]])/3,0)</f>
        <v>Q2</v>
      </c>
      <c r="K262" s="2">
        <f>(Orders[[#This Row],[Profit]]/Orders[[#This Row],[Sales]])*100</f>
        <v>20.427614177393757</v>
      </c>
    </row>
    <row r="263" spans="1:11" x14ac:dyDescent="0.3">
      <c r="A263" t="s">
        <v>507</v>
      </c>
      <c r="B263" s="1">
        <v>45488</v>
      </c>
      <c r="C263" t="s">
        <v>56</v>
      </c>
      <c r="D263" t="s">
        <v>231</v>
      </c>
      <c r="E263">
        <v>3</v>
      </c>
      <c r="F263">
        <v>164811</v>
      </c>
      <c r="G263">
        <v>20253.060000000001</v>
      </c>
      <c r="H263" t="str">
        <f>TEXT(Orders[[#This Row],[Order_Date]],"mmmm")</f>
        <v>July</v>
      </c>
      <c r="I263">
        <f>YEAR(Orders[[#This Row],[Order_Date]])</f>
        <v>2024</v>
      </c>
      <c r="J263" t="str">
        <f>"Q"&amp;ROUNDUP(MONTH(Orders[[#This Row],[Order_Date]])/3,0)</f>
        <v>Q3</v>
      </c>
      <c r="K263" s="2">
        <f>(Orders[[#This Row],[Profit]]/Orders[[#This Row],[Sales]])*100</f>
        <v>12.288657917250671</v>
      </c>
    </row>
    <row r="264" spans="1:11" x14ac:dyDescent="0.3">
      <c r="A264" t="s">
        <v>508</v>
      </c>
      <c r="B264" s="1">
        <v>45358</v>
      </c>
      <c r="C264" t="s">
        <v>90</v>
      </c>
      <c r="D264" t="s">
        <v>245</v>
      </c>
      <c r="E264">
        <v>4</v>
      </c>
      <c r="F264">
        <v>96944</v>
      </c>
      <c r="G264">
        <v>7977.48</v>
      </c>
      <c r="H264" t="str">
        <f>TEXT(Orders[[#This Row],[Order_Date]],"mmmm")</f>
        <v>March</v>
      </c>
      <c r="I264">
        <f>YEAR(Orders[[#This Row],[Order_Date]])</f>
        <v>2024</v>
      </c>
      <c r="J264" t="str">
        <f>"Q"&amp;ROUNDUP(MONTH(Orders[[#This Row],[Order_Date]])/3,0)</f>
        <v>Q1</v>
      </c>
      <c r="K264" s="2">
        <f>(Orders[[#This Row],[Profit]]/Orders[[#This Row],[Sales]])*100</f>
        <v>8.2289569235847502</v>
      </c>
    </row>
    <row r="265" spans="1:11" x14ac:dyDescent="0.3">
      <c r="A265" t="s">
        <v>509</v>
      </c>
      <c r="B265" s="1">
        <v>45588</v>
      </c>
      <c r="C265" t="s">
        <v>84</v>
      </c>
      <c r="D265" t="s">
        <v>227</v>
      </c>
      <c r="E265">
        <v>2</v>
      </c>
      <c r="F265">
        <v>18788</v>
      </c>
      <c r="G265">
        <v>1728.09</v>
      </c>
      <c r="H265" t="str">
        <f>TEXT(Orders[[#This Row],[Order_Date]],"mmmm")</f>
        <v>October</v>
      </c>
      <c r="I265">
        <f>YEAR(Orders[[#This Row],[Order_Date]])</f>
        <v>2024</v>
      </c>
      <c r="J265" t="str">
        <f>"Q"&amp;ROUNDUP(MONTH(Orders[[#This Row],[Order_Date]])/3,0)</f>
        <v>Q4</v>
      </c>
      <c r="K265" s="2">
        <f>(Orders[[#This Row],[Profit]]/Orders[[#This Row],[Sales]])*100</f>
        <v>9.1978390461997019</v>
      </c>
    </row>
    <row r="266" spans="1:11" x14ac:dyDescent="0.3">
      <c r="A266" t="s">
        <v>510</v>
      </c>
      <c r="B266" s="1">
        <v>45414</v>
      </c>
      <c r="C266" t="s">
        <v>156</v>
      </c>
      <c r="D266" t="s">
        <v>235</v>
      </c>
      <c r="E266">
        <v>2</v>
      </c>
      <c r="F266">
        <v>22684</v>
      </c>
      <c r="G266">
        <v>3908.73</v>
      </c>
      <c r="H266" t="str">
        <f>TEXT(Orders[[#This Row],[Order_Date]],"mmmm")</f>
        <v>May</v>
      </c>
      <c r="I266">
        <f>YEAR(Orders[[#This Row],[Order_Date]])</f>
        <v>2024</v>
      </c>
      <c r="J266" t="str">
        <f>"Q"&amp;ROUNDUP(MONTH(Orders[[#This Row],[Order_Date]])/3,0)</f>
        <v>Q2</v>
      </c>
      <c r="K266" s="2">
        <f>(Orders[[#This Row],[Profit]]/Orders[[#This Row],[Sales]])*100</f>
        <v>17.231220243343326</v>
      </c>
    </row>
    <row r="267" spans="1:11" x14ac:dyDescent="0.3">
      <c r="A267" t="s">
        <v>511</v>
      </c>
      <c r="B267" s="1">
        <v>45656</v>
      </c>
      <c r="C267" t="s">
        <v>166</v>
      </c>
      <c r="D267" t="s">
        <v>260</v>
      </c>
      <c r="E267">
        <v>5</v>
      </c>
      <c r="F267">
        <v>279750</v>
      </c>
      <c r="G267">
        <v>44280.41</v>
      </c>
      <c r="H267" t="str">
        <f>TEXT(Orders[[#This Row],[Order_Date]],"mmmm")</f>
        <v>December</v>
      </c>
      <c r="I267">
        <f>YEAR(Orders[[#This Row],[Order_Date]])</f>
        <v>2024</v>
      </c>
      <c r="J267" t="str">
        <f>"Q"&amp;ROUNDUP(MONTH(Orders[[#This Row],[Order_Date]])/3,0)</f>
        <v>Q4</v>
      </c>
      <c r="K267" s="2">
        <f>(Orders[[#This Row],[Profit]]/Orders[[#This Row],[Sales]])*100</f>
        <v>15.828564789991065</v>
      </c>
    </row>
    <row r="268" spans="1:11" x14ac:dyDescent="0.3">
      <c r="A268" t="s">
        <v>512</v>
      </c>
      <c r="B268" s="1">
        <v>45633</v>
      </c>
      <c r="C268" t="s">
        <v>70</v>
      </c>
      <c r="D268" t="s">
        <v>237</v>
      </c>
      <c r="E268">
        <v>1</v>
      </c>
      <c r="F268">
        <v>8626</v>
      </c>
      <c r="G268">
        <v>914.56</v>
      </c>
      <c r="H268" t="str">
        <f>TEXT(Orders[[#This Row],[Order_Date]],"mmmm")</f>
        <v>December</v>
      </c>
      <c r="I268">
        <f>YEAR(Orders[[#This Row],[Order_Date]])</f>
        <v>2024</v>
      </c>
      <c r="J268" t="str">
        <f>"Q"&amp;ROUNDUP(MONTH(Orders[[#This Row],[Order_Date]])/3,0)</f>
        <v>Q4</v>
      </c>
      <c r="K268" s="2">
        <f>(Orders[[#This Row],[Profit]]/Orders[[#This Row],[Sales]])*100</f>
        <v>10.602364943194992</v>
      </c>
    </row>
    <row r="269" spans="1:11" x14ac:dyDescent="0.3">
      <c r="A269" t="s">
        <v>513</v>
      </c>
      <c r="B269" s="1">
        <v>45641</v>
      </c>
      <c r="C269" t="s">
        <v>31</v>
      </c>
      <c r="D269" t="s">
        <v>344</v>
      </c>
      <c r="E269">
        <v>4</v>
      </c>
      <c r="F269">
        <v>36404</v>
      </c>
      <c r="G269">
        <v>5280.29</v>
      </c>
      <c r="H269" t="str">
        <f>TEXT(Orders[[#This Row],[Order_Date]],"mmmm")</f>
        <v>December</v>
      </c>
      <c r="I269">
        <f>YEAR(Orders[[#This Row],[Order_Date]])</f>
        <v>2024</v>
      </c>
      <c r="J269" t="str">
        <f>"Q"&amp;ROUNDUP(MONTH(Orders[[#This Row],[Order_Date]])/3,0)</f>
        <v>Q4</v>
      </c>
      <c r="K269" s="2">
        <f>(Orders[[#This Row],[Profit]]/Orders[[#This Row],[Sales]])*100</f>
        <v>14.504697286012528</v>
      </c>
    </row>
    <row r="270" spans="1:11" x14ac:dyDescent="0.3">
      <c r="A270" t="s">
        <v>514</v>
      </c>
      <c r="B270" s="1">
        <v>45567</v>
      </c>
      <c r="C270" t="s">
        <v>54</v>
      </c>
      <c r="D270" t="s">
        <v>245</v>
      </c>
      <c r="E270">
        <v>5</v>
      </c>
      <c r="F270">
        <v>121180</v>
      </c>
      <c r="G270">
        <v>12355.5</v>
      </c>
      <c r="H270" t="str">
        <f>TEXT(Orders[[#This Row],[Order_Date]],"mmmm")</f>
        <v>October</v>
      </c>
      <c r="I270">
        <f>YEAR(Orders[[#This Row],[Order_Date]])</f>
        <v>2024</v>
      </c>
      <c r="J270" t="str">
        <f>"Q"&amp;ROUNDUP(MONTH(Orders[[#This Row],[Order_Date]])/3,0)</f>
        <v>Q4</v>
      </c>
      <c r="K270" s="2">
        <f>(Orders[[#This Row],[Profit]]/Orders[[#This Row],[Sales]])*100</f>
        <v>10.195989437200858</v>
      </c>
    </row>
    <row r="271" spans="1:11" x14ac:dyDescent="0.3">
      <c r="A271" t="s">
        <v>515</v>
      </c>
      <c r="B271" s="1">
        <v>45363</v>
      </c>
      <c r="C271" t="s">
        <v>158</v>
      </c>
      <c r="D271" t="s">
        <v>237</v>
      </c>
      <c r="E271">
        <v>2</v>
      </c>
      <c r="F271">
        <v>17252</v>
      </c>
      <c r="G271">
        <v>3872.84</v>
      </c>
      <c r="H271" t="str">
        <f>TEXT(Orders[[#This Row],[Order_Date]],"mmmm")</f>
        <v>March</v>
      </c>
      <c r="I271">
        <f>YEAR(Orders[[#This Row],[Order_Date]])</f>
        <v>2024</v>
      </c>
      <c r="J271" t="str">
        <f>"Q"&amp;ROUNDUP(MONTH(Orders[[#This Row],[Order_Date]])/3,0)</f>
        <v>Q1</v>
      </c>
      <c r="K271" s="2">
        <f>(Orders[[#This Row],[Profit]]/Orders[[#This Row],[Sales]])*100</f>
        <v>22.448643635520522</v>
      </c>
    </row>
    <row r="272" spans="1:11" x14ac:dyDescent="0.3">
      <c r="A272" t="s">
        <v>516</v>
      </c>
      <c r="B272" s="1">
        <v>45383</v>
      </c>
      <c r="C272" t="s">
        <v>92</v>
      </c>
      <c r="D272" t="s">
        <v>263</v>
      </c>
      <c r="E272">
        <v>4</v>
      </c>
      <c r="F272">
        <v>28620</v>
      </c>
      <c r="G272">
        <v>4025.87</v>
      </c>
      <c r="H272" t="str">
        <f>TEXT(Orders[[#This Row],[Order_Date]],"mmmm")</f>
        <v>April</v>
      </c>
      <c r="I272">
        <f>YEAR(Orders[[#This Row],[Order_Date]])</f>
        <v>2024</v>
      </c>
      <c r="J272" t="str">
        <f>"Q"&amp;ROUNDUP(MONTH(Orders[[#This Row],[Order_Date]])/3,0)</f>
        <v>Q2</v>
      </c>
      <c r="K272" s="2">
        <f>(Orders[[#This Row],[Profit]]/Orders[[#This Row],[Sales]])*100</f>
        <v>14.066631726065687</v>
      </c>
    </row>
    <row r="273" spans="1:11" x14ac:dyDescent="0.3">
      <c r="A273" t="s">
        <v>517</v>
      </c>
      <c r="B273" s="1">
        <v>45566</v>
      </c>
      <c r="C273" t="s">
        <v>76</v>
      </c>
      <c r="D273" t="s">
        <v>279</v>
      </c>
      <c r="E273">
        <v>2</v>
      </c>
      <c r="F273">
        <v>12440</v>
      </c>
      <c r="G273">
        <v>1730.56</v>
      </c>
      <c r="H273" t="str">
        <f>TEXT(Orders[[#This Row],[Order_Date]],"mmmm")</f>
        <v>October</v>
      </c>
      <c r="I273">
        <f>YEAR(Orders[[#This Row],[Order_Date]])</f>
        <v>2024</v>
      </c>
      <c r="J273" t="str">
        <f>"Q"&amp;ROUNDUP(MONTH(Orders[[#This Row],[Order_Date]])/3,0)</f>
        <v>Q4</v>
      </c>
      <c r="K273" s="2">
        <f>(Orders[[#This Row],[Profit]]/Orders[[#This Row],[Sales]])*100</f>
        <v>13.911254019292604</v>
      </c>
    </row>
    <row r="274" spans="1:11" x14ac:dyDescent="0.3">
      <c r="A274" t="s">
        <v>518</v>
      </c>
      <c r="B274" s="1">
        <v>45398</v>
      </c>
      <c r="C274" t="s">
        <v>94</v>
      </c>
      <c r="D274" t="s">
        <v>237</v>
      </c>
      <c r="E274">
        <v>5</v>
      </c>
      <c r="F274">
        <v>43130</v>
      </c>
      <c r="G274">
        <v>9516.64</v>
      </c>
      <c r="H274" t="str">
        <f>TEXT(Orders[[#This Row],[Order_Date]],"mmmm")</f>
        <v>April</v>
      </c>
      <c r="I274">
        <f>YEAR(Orders[[#This Row],[Order_Date]])</f>
        <v>2024</v>
      </c>
      <c r="J274" t="str">
        <f>"Q"&amp;ROUNDUP(MONTH(Orders[[#This Row],[Order_Date]])/3,0)</f>
        <v>Q2</v>
      </c>
      <c r="K274" s="2">
        <f>(Orders[[#This Row],[Profit]]/Orders[[#This Row],[Sales]])*100</f>
        <v>22.065012752144678</v>
      </c>
    </row>
    <row r="275" spans="1:11" x14ac:dyDescent="0.3">
      <c r="A275" t="s">
        <v>519</v>
      </c>
      <c r="B275" s="1">
        <v>45610</v>
      </c>
      <c r="C275" t="s">
        <v>200</v>
      </c>
      <c r="D275" t="s">
        <v>266</v>
      </c>
      <c r="E275">
        <v>1</v>
      </c>
      <c r="F275">
        <v>11235</v>
      </c>
      <c r="G275">
        <v>1453.25</v>
      </c>
      <c r="H275" t="str">
        <f>TEXT(Orders[[#This Row],[Order_Date]],"mmmm")</f>
        <v>November</v>
      </c>
      <c r="I275">
        <f>YEAR(Orders[[#This Row],[Order_Date]])</f>
        <v>2024</v>
      </c>
      <c r="J275" t="str">
        <f>"Q"&amp;ROUNDUP(MONTH(Orders[[#This Row],[Order_Date]])/3,0)</f>
        <v>Q4</v>
      </c>
      <c r="K275" s="2">
        <f>(Orders[[#This Row],[Profit]]/Orders[[#This Row],[Sales]])*100</f>
        <v>12.935024477080551</v>
      </c>
    </row>
    <row r="276" spans="1:11" x14ac:dyDescent="0.3">
      <c r="A276" t="s">
        <v>520</v>
      </c>
      <c r="B276" s="1">
        <v>45519</v>
      </c>
      <c r="C276" t="s">
        <v>170</v>
      </c>
      <c r="D276" t="s">
        <v>239</v>
      </c>
      <c r="E276">
        <v>5</v>
      </c>
      <c r="F276">
        <v>125795</v>
      </c>
      <c r="G276">
        <v>18032.400000000001</v>
      </c>
      <c r="H276" t="str">
        <f>TEXT(Orders[[#This Row],[Order_Date]],"mmmm")</f>
        <v>August</v>
      </c>
      <c r="I276">
        <f>YEAR(Orders[[#This Row],[Order_Date]])</f>
        <v>2024</v>
      </c>
      <c r="J276" t="str">
        <f>"Q"&amp;ROUNDUP(MONTH(Orders[[#This Row],[Order_Date]])/3,0)</f>
        <v>Q3</v>
      </c>
      <c r="K276" s="2">
        <f>(Orders[[#This Row],[Profit]]/Orders[[#This Row],[Sales]])*100</f>
        <v>14.334750983743394</v>
      </c>
    </row>
    <row r="277" spans="1:11" x14ac:dyDescent="0.3">
      <c r="A277" t="s">
        <v>521</v>
      </c>
      <c r="B277" s="1">
        <v>45453</v>
      </c>
      <c r="C277" t="s">
        <v>84</v>
      </c>
      <c r="D277" t="s">
        <v>235</v>
      </c>
      <c r="E277">
        <v>1</v>
      </c>
      <c r="F277">
        <v>11342</v>
      </c>
      <c r="G277">
        <v>1007.75</v>
      </c>
      <c r="H277" t="str">
        <f>TEXT(Orders[[#This Row],[Order_Date]],"mmmm")</f>
        <v>June</v>
      </c>
      <c r="I277">
        <f>YEAR(Orders[[#This Row],[Order_Date]])</f>
        <v>2024</v>
      </c>
      <c r="J277" t="str">
        <f>"Q"&amp;ROUNDUP(MONTH(Orders[[#This Row],[Order_Date]])/3,0)</f>
        <v>Q2</v>
      </c>
      <c r="K277" s="2">
        <f>(Orders[[#This Row],[Profit]]/Orders[[#This Row],[Sales]])*100</f>
        <v>8.8851172632692634</v>
      </c>
    </row>
    <row r="278" spans="1:11" x14ac:dyDescent="0.3">
      <c r="A278" t="s">
        <v>522</v>
      </c>
      <c r="B278" s="1">
        <v>45514</v>
      </c>
      <c r="C278" t="s">
        <v>60</v>
      </c>
      <c r="D278" t="s">
        <v>260</v>
      </c>
      <c r="E278">
        <v>1</v>
      </c>
      <c r="F278">
        <v>55950</v>
      </c>
      <c r="G278">
        <v>5546.21</v>
      </c>
      <c r="H278" t="str">
        <f>TEXT(Orders[[#This Row],[Order_Date]],"mmmm")</f>
        <v>August</v>
      </c>
      <c r="I278">
        <f>YEAR(Orders[[#This Row],[Order_Date]])</f>
        <v>2024</v>
      </c>
      <c r="J278" t="str">
        <f>"Q"&amp;ROUNDUP(MONTH(Orders[[#This Row],[Order_Date]])/3,0)</f>
        <v>Q3</v>
      </c>
      <c r="K278" s="2">
        <f>(Orders[[#This Row],[Profit]]/Orders[[#This Row],[Sales]])*100</f>
        <v>9.9127971403038426</v>
      </c>
    </row>
    <row r="279" spans="1:11" x14ac:dyDescent="0.3">
      <c r="A279" t="s">
        <v>523</v>
      </c>
      <c r="B279" s="1">
        <v>45550</v>
      </c>
      <c r="C279" t="s">
        <v>182</v>
      </c>
      <c r="D279" t="s">
        <v>245</v>
      </c>
      <c r="E279">
        <v>2</v>
      </c>
      <c r="F279">
        <v>48472</v>
      </c>
      <c r="G279">
        <v>10014.01</v>
      </c>
      <c r="H279" t="str">
        <f>TEXT(Orders[[#This Row],[Order_Date]],"mmmm")</f>
        <v>September</v>
      </c>
      <c r="I279">
        <f>YEAR(Orders[[#This Row],[Order_Date]])</f>
        <v>2024</v>
      </c>
      <c r="J279" t="str">
        <f>"Q"&amp;ROUNDUP(MONTH(Orders[[#This Row],[Order_Date]])/3,0)</f>
        <v>Q3</v>
      </c>
      <c r="K279" s="2">
        <f>(Orders[[#This Row],[Profit]]/Orders[[#This Row],[Sales]])*100</f>
        <v>20.659370358144908</v>
      </c>
    </row>
    <row r="280" spans="1:11" x14ac:dyDescent="0.3">
      <c r="A280" t="s">
        <v>524</v>
      </c>
      <c r="B280" s="1">
        <v>45654</v>
      </c>
      <c r="C280" t="s">
        <v>148</v>
      </c>
      <c r="D280" t="s">
        <v>229</v>
      </c>
      <c r="E280">
        <v>1</v>
      </c>
      <c r="F280">
        <v>8873</v>
      </c>
      <c r="G280">
        <v>2085.7199999999998</v>
      </c>
      <c r="H280" t="str">
        <f>TEXT(Orders[[#This Row],[Order_Date]],"mmmm")</f>
        <v>December</v>
      </c>
      <c r="I280">
        <f>YEAR(Orders[[#This Row],[Order_Date]])</f>
        <v>2024</v>
      </c>
      <c r="J280" t="str">
        <f>"Q"&amp;ROUNDUP(MONTH(Orders[[#This Row],[Order_Date]])/3,0)</f>
        <v>Q4</v>
      </c>
      <c r="K280" s="2">
        <f>(Orders[[#This Row],[Profit]]/Orders[[#This Row],[Sales]])*100</f>
        <v>23.506367632142453</v>
      </c>
    </row>
    <row r="281" spans="1:11" x14ac:dyDescent="0.3">
      <c r="A281" t="s">
        <v>525</v>
      </c>
      <c r="B281" s="1">
        <v>45588</v>
      </c>
      <c r="C281" t="s">
        <v>74</v>
      </c>
      <c r="D281" t="s">
        <v>229</v>
      </c>
      <c r="E281">
        <v>5</v>
      </c>
      <c r="F281">
        <v>44365</v>
      </c>
      <c r="G281">
        <v>4559.49</v>
      </c>
      <c r="H281" t="str">
        <f>TEXT(Orders[[#This Row],[Order_Date]],"mmmm")</f>
        <v>October</v>
      </c>
      <c r="I281">
        <f>YEAR(Orders[[#This Row],[Order_Date]])</f>
        <v>2024</v>
      </c>
      <c r="J281" t="str">
        <f>"Q"&amp;ROUNDUP(MONTH(Orders[[#This Row],[Order_Date]])/3,0)</f>
        <v>Q4</v>
      </c>
      <c r="K281" s="2">
        <f>(Orders[[#This Row],[Profit]]/Orders[[#This Row],[Sales]])*100</f>
        <v>10.277223036177165</v>
      </c>
    </row>
    <row r="282" spans="1:11" x14ac:dyDescent="0.3">
      <c r="A282" t="s">
        <v>526</v>
      </c>
      <c r="B282" s="1">
        <v>45580</v>
      </c>
      <c r="C282" t="s">
        <v>84</v>
      </c>
      <c r="D282" t="s">
        <v>344</v>
      </c>
      <c r="E282">
        <v>1</v>
      </c>
      <c r="F282">
        <v>9101</v>
      </c>
      <c r="G282">
        <v>1979.15</v>
      </c>
      <c r="H282" t="str">
        <f>TEXT(Orders[[#This Row],[Order_Date]],"mmmm")</f>
        <v>October</v>
      </c>
      <c r="I282">
        <f>YEAR(Orders[[#This Row],[Order_Date]])</f>
        <v>2024</v>
      </c>
      <c r="J282" t="str">
        <f>"Q"&amp;ROUNDUP(MONTH(Orders[[#This Row],[Order_Date]])/3,0)</f>
        <v>Q4</v>
      </c>
      <c r="K282" s="2">
        <f>(Orders[[#This Row],[Profit]]/Orders[[#This Row],[Sales]])*100</f>
        <v>21.746511372376663</v>
      </c>
    </row>
    <row r="283" spans="1:11" x14ac:dyDescent="0.3">
      <c r="A283" t="s">
        <v>527</v>
      </c>
      <c r="B283" s="1">
        <v>45429</v>
      </c>
      <c r="C283" t="s">
        <v>116</v>
      </c>
      <c r="D283" t="s">
        <v>316</v>
      </c>
      <c r="E283">
        <v>5</v>
      </c>
      <c r="F283">
        <v>271920</v>
      </c>
      <c r="G283">
        <v>50117.279999999999</v>
      </c>
      <c r="H283" t="str">
        <f>TEXT(Orders[[#This Row],[Order_Date]],"mmmm")</f>
        <v>May</v>
      </c>
      <c r="I283">
        <f>YEAR(Orders[[#This Row],[Order_Date]])</f>
        <v>2024</v>
      </c>
      <c r="J283" t="str">
        <f>"Q"&amp;ROUNDUP(MONTH(Orders[[#This Row],[Order_Date]])/3,0)</f>
        <v>Q2</v>
      </c>
      <c r="K283" s="2">
        <f>(Orders[[#This Row],[Profit]]/Orders[[#This Row],[Sales]])*100</f>
        <v>18.430891438658428</v>
      </c>
    </row>
    <row r="284" spans="1:11" x14ac:dyDescent="0.3">
      <c r="A284" t="s">
        <v>528</v>
      </c>
      <c r="B284" s="1">
        <v>45502</v>
      </c>
      <c r="C284" t="s">
        <v>24</v>
      </c>
      <c r="D284" t="s">
        <v>257</v>
      </c>
      <c r="E284">
        <v>5</v>
      </c>
      <c r="F284">
        <v>33735</v>
      </c>
      <c r="G284">
        <v>5582.72</v>
      </c>
      <c r="H284" t="str">
        <f>TEXT(Orders[[#This Row],[Order_Date]],"mmmm")</f>
        <v>July</v>
      </c>
      <c r="I284">
        <f>YEAR(Orders[[#This Row],[Order_Date]])</f>
        <v>2024</v>
      </c>
      <c r="J284" t="str">
        <f>"Q"&amp;ROUNDUP(MONTH(Orders[[#This Row],[Order_Date]])/3,0)</f>
        <v>Q3</v>
      </c>
      <c r="K284" s="2">
        <f>(Orders[[#This Row],[Profit]]/Orders[[#This Row],[Sales]])*100</f>
        <v>16.548747591522158</v>
      </c>
    </row>
    <row r="285" spans="1:11" x14ac:dyDescent="0.3">
      <c r="A285" t="s">
        <v>529</v>
      </c>
      <c r="B285" s="1">
        <v>45342</v>
      </c>
      <c r="C285" t="s">
        <v>90</v>
      </c>
      <c r="D285" t="s">
        <v>283</v>
      </c>
      <c r="E285">
        <v>4</v>
      </c>
      <c r="F285">
        <v>216748</v>
      </c>
      <c r="G285">
        <v>27361.52</v>
      </c>
      <c r="H285" t="str">
        <f>TEXT(Orders[[#This Row],[Order_Date]],"mmmm")</f>
        <v>February</v>
      </c>
      <c r="I285">
        <f>YEAR(Orders[[#This Row],[Order_Date]])</f>
        <v>2024</v>
      </c>
      <c r="J285" t="str">
        <f>"Q"&amp;ROUNDUP(MONTH(Orders[[#This Row],[Order_Date]])/3,0)</f>
        <v>Q1</v>
      </c>
      <c r="K285" s="2">
        <f>(Orders[[#This Row],[Profit]]/Orders[[#This Row],[Sales]])*100</f>
        <v>12.623655120231792</v>
      </c>
    </row>
    <row r="286" spans="1:11" x14ac:dyDescent="0.3">
      <c r="A286" t="s">
        <v>530</v>
      </c>
      <c r="B286" s="1">
        <v>45524</v>
      </c>
      <c r="C286" t="s">
        <v>190</v>
      </c>
      <c r="D286" t="s">
        <v>260</v>
      </c>
      <c r="E286">
        <v>2</v>
      </c>
      <c r="F286">
        <v>111900</v>
      </c>
      <c r="G286">
        <v>19595.61</v>
      </c>
      <c r="H286" t="str">
        <f>TEXT(Orders[[#This Row],[Order_Date]],"mmmm")</f>
        <v>August</v>
      </c>
      <c r="I286">
        <f>YEAR(Orders[[#This Row],[Order_Date]])</f>
        <v>2024</v>
      </c>
      <c r="J286" t="str">
        <f>"Q"&amp;ROUNDUP(MONTH(Orders[[#This Row],[Order_Date]])/3,0)</f>
        <v>Q3</v>
      </c>
      <c r="K286" s="2">
        <f>(Orders[[#This Row],[Profit]]/Orders[[#This Row],[Sales]])*100</f>
        <v>17.51171581769437</v>
      </c>
    </row>
    <row r="287" spans="1:11" x14ac:dyDescent="0.3">
      <c r="A287" t="s">
        <v>531</v>
      </c>
      <c r="B287" s="1">
        <v>45567</v>
      </c>
      <c r="C287" t="s">
        <v>212</v>
      </c>
      <c r="D287" t="s">
        <v>247</v>
      </c>
      <c r="E287">
        <v>4</v>
      </c>
      <c r="F287">
        <v>44624</v>
      </c>
      <c r="G287">
        <v>5195.8999999999996</v>
      </c>
      <c r="H287" t="str">
        <f>TEXT(Orders[[#This Row],[Order_Date]],"mmmm")</f>
        <v>October</v>
      </c>
      <c r="I287">
        <f>YEAR(Orders[[#This Row],[Order_Date]])</f>
        <v>2024</v>
      </c>
      <c r="J287" t="str">
        <f>"Q"&amp;ROUNDUP(MONTH(Orders[[#This Row],[Order_Date]])/3,0)</f>
        <v>Q4</v>
      </c>
      <c r="K287" s="2">
        <f>(Orders[[#This Row],[Profit]]/Orders[[#This Row],[Sales]])*100</f>
        <v>11.643734313373969</v>
      </c>
    </row>
    <row r="288" spans="1:11" x14ac:dyDescent="0.3">
      <c r="A288" t="s">
        <v>532</v>
      </c>
      <c r="B288" s="1">
        <v>45313</v>
      </c>
      <c r="C288" t="s">
        <v>106</v>
      </c>
      <c r="D288" t="s">
        <v>227</v>
      </c>
      <c r="E288">
        <v>1</v>
      </c>
      <c r="F288">
        <v>9394</v>
      </c>
      <c r="G288">
        <v>874.67</v>
      </c>
      <c r="H288" t="str">
        <f>TEXT(Orders[[#This Row],[Order_Date]],"mmmm")</f>
        <v>January</v>
      </c>
      <c r="I288">
        <f>YEAR(Orders[[#This Row],[Order_Date]])</f>
        <v>2024</v>
      </c>
      <c r="J288" t="str">
        <f>"Q"&amp;ROUNDUP(MONTH(Orders[[#This Row],[Order_Date]])/3,0)</f>
        <v>Q1</v>
      </c>
      <c r="K288" s="2">
        <f>(Orders[[#This Row],[Profit]]/Orders[[#This Row],[Sales]])*100</f>
        <v>9.3109431552054485</v>
      </c>
    </row>
    <row r="289" spans="1:11" x14ac:dyDescent="0.3">
      <c r="A289" t="s">
        <v>533</v>
      </c>
      <c r="B289" s="1">
        <v>45596</v>
      </c>
      <c r="C289" t="s">
        <v>128</v>
      </c>
      <c r="D289" t="s">
        <v>266</v>
      </c>
      <c r="E289">
        <v>2</v>
      </c>
      <c r="F289">
        <v>22470</v>
      </c>
      <c r="G289">
        <v>5452.76</v>
      </c>
      <c r="H289" t="str">
        <f>TEXT(Orders[[#This Row],[Order_Date]],"mmmm")</f>
        <v>October</v>
      </c>
      <c r="I289">
        <f>YEAR(Orders[[#This Row],[Order_Date]])</f>
        <v>2024</v>
      </c>
      <c r="J289" t="str">
        <f>"Q"&amp;ROUNDUP(MONTH(Orders[[#This Row],[Order_Date]])/3,0)</f>
        <v>Q4</v>
      </c>
      <c r="K289" s="2">
        <f>(Orders[[#This Row],[Profit]]/Orders[[#This Row],[Sales]])*100</f>
        <v>24.266844681797952</v>
      </c>
    </row>
    <row r="290" spans="1:11" x14ac:dyDescent="0.3">
      <c r="A290" t="s">
        <v>534</v>
      </c>
      <c r="B290" s="1">
        <v>45476</v>
      </c>
      <c r="C290" t="s">
        <v>148</v>
      </c>
      <c r="D290" t="s">
        <v>263</v>
      </c>
      <c r="E290">
        <v>5</v>
      </c>
      <c r="F290">
        <v>35775</v>
      </c>
      <c r="G290">
        <v>5202.28</v>
      </c>
      <c r="H290" t="str">
        <f>TEXT(Orders[[#This Row],[Order_Date]],"mmmm")</f>
        <v>July</v>
      </c>
      <c r="I290">
        <f>YEAR(Orders[[#This Row],[Order_Date]])</f>
        <v>2024</v>
      </c>
      <c r="J290" t="str">
        <f>"Q"&amp;ROUNDUP(MONTH(Orders[[#This Row],[Order_Date]])/3,0)</f>
        <v>Q3</v>
      </c>
      <c r="K290" s="2">
        <f>(Orders[[#This Row],[Profit]]/Orders[[#This Row],[Sales]])*100</f>
        <v>14.541663172606567</v>
      </c>
    </row>
    <row r="291" spans="1:11" x14ac:dyDescent="0.3">
      <c r="A291" t="s">
        <v>535</v>
      </c>
      <c r="B291" s="1">
        <v>45592</v>
      </c>
      <c r="C291" t="s">
        <v>70</v>
      </c>
      <c r="D291" t="s">
        <v>227</v>
      </c>
      <c r="E291">
        <v>3</v>
      </c>
      <c r="F291">
        <v>28182</v>
      </c>
      <c r="G291">
        <v>5410.04</v>
      </c>
      <c r="H291" t="str">
        <f>TEXT(Orders[[#This Row],[Order_Date]],"mmmm")</f>
        <v>October</v>
      </c>
      <c r="I291">
        <f>YEAR(Orders[[#This Row],[Order_Date]])</f>
        <v>2024</v>
      </c>
      <c r="J291" t="str">
        <f>"Q"&amp;ROUNDUP(MONTH(Orders[[#This Row],[Order_Date]])/3,0)</f>
        <v>Q4</v>
      </c>
      <c r="K291" s="2">
        <f>(Orders[[#This Row],[Profit]]/Orders[[#This Row],[Sales]])*100</f>
        <v>19.196792278759492</v>
      </c>
    </row>
    <row r="292" spans="1:11" x14ac:dyDescent="0.3">
      <c r="A292" t="s">
        <v>536</v>
      </c>
      <c r="B292" s="1">
        <v>45526</v>
      </c>
      <c r="C292" t="s">
        <v>212</v>
      </c>
      <c r="D292" t="s">
        <v>237</v>
      </c>
      <c r="E292">
        <v>3</v>
      </c>
      <c r="F292">
        <v>25878</v>
      </c>
      <c r="G292">
        <v>6055.43</v>
      </c>
      <c r="H292" t="str">
        <f>TEXT(Orders[[#This Row],[Order_Date]],"mmmm")</f>
        <v>August</v>
      </c>
      <c r="I292">
        <f>YEAR(Orders[[#This Row],[Order_Date]])</f>
        <v>2024</v>
      </c>
      <c r="J292" t="str">
        <f>"Q"&amp;ROUNDUP(MONTH(Orders[[#This Row],[Order_Date]])/3,0)</f>
        <v>Q3</v>
      </c>
      <c r="K292" s="2">
        <f>(Orders[[#This Row],[Profit]]/Orders[[#This Row],[Sales]])*100</f>
        <v>23.399914985702143</v>
      </c>
    </row>
    <row r="293" spans="1:11" x14ac:dyDescent="0.3">
      <c r="A293" t="s">
        <v>537</v>
      </c>
      <c r="B293" s="1">
        <v>45438</v>
      </c>
      <c r="C293" t="s">
        <v>27</v>
      </c>
      <c r="D293" t="s">
        <v>235</v>
      </c>
      <c r="E293">
        <v>2</v>
      </c>
      <c r="F293">
        <v>22684</v>
      </c>
      <c r="G293">
        <v>5251.74</v>
      </c>
      <c r="H293" t="str">
        <f>TEXT(Orders[[#This Row],[Order_Date]],"mmmm")</f>
        <v>May</v>
      </c>
      <c r="I293">
        <f>YEAR(Orders[[#This Row],[Order_Date]])</f>
        <v>2024</v>
      </c>
      <c r="J293" t="str">
        <f>"Q"&amp;ROUNDUP(MONTH(Orders[[#This Row],[Order_Date]])/3,0)</f>
        <v>Q2</v>
      </c>
      <c r="K293" s="2">
        <f>(Orders[[#This Row],[Profit]]/Orders[[#This Row],[Sales]])*100</f>
        <v>23.151736907071061</v>
      </c>
    </row>
    <row r="294" spans="1:11" x14ac:dyDescent="0.3">
      <c r="A294" t="s">
        <v>538</v>
      </c>
      <c r="B294" s="1">
        <v>45581</v>
      </c>
      <c r="C294" t="s">
        <v>140</v>
      </c>
      <c r="D294" t="s">
        <v>247</v>
      </c>
      <c r="E294">
        <v>5</v>
      </c>
      <c r="F294">
        <v>55780</v>
      </c>
      <c r="G294">
        <v>9213.64</v>
      </c>
      <c r="H294" t="str">
        <f>TEXT(Orders[[#This Row],[Order_Date]],"mmmm")</f>
        <v>October</v>
      </c>
      <c r="I294">
        <f>YEAR(Orders[[#This Row],[Order_Date]])</f>
        <v>2024</v>
      </c>
      <c r="J294" t="str">
        <f>"Q"&amp;ROUNDUP(MONTH(Orders[[#This Row],[Order_Date]])/3,0)</f>
        <v>Q4</v>
      </c>
      <c r="K294" s="2">
        <f>(Orders[[#This Row],[Profit]]/Orders[[#This Row],[Sales]])*100</f>
        <v>16.517820007171029</v>
      </c>
    </row>
    <row r="295" spans="1:11" x14ac:dyDescent="0.3">
      <c r="A295" t="s">
        <v>539</v>
      </c>
      <c r="B295" s="1">
        <v>45585</v>
      </c>
      <c r="C295" t="s">
        <v>120</v>
      </c>
      <c r="D295" t="s">
        <v>237</v>
      </c>
      <c r="E295">
        <v>4</v>
      </c>
      <c r="F295">
        <v>34504</v>
      </c>
      <c r="G295">
        <v>7433.33</v>
      </c>
      <c r="H295" t="str">
        <f>TEXT(Orders[[#This Row],[Order_Date]],"mmmm")</f>
        <v>October</v>
      </c>
      <c r="I295">
        <f>YEAR(Orders[[#This Row],[Order_Date]])</f>
        <v>2024</v>
      </c>
      <c r="J295" t="str">
        <f>"Q"&amp;ROUNDUP(MONTH(Orders[[#This Row],[Order_Date]])/3,0)</f>
        <v>Q4</v>
      </c>
      <c r="K295" s="2">
        <f>(Orders[[#This Row],[Profit]]/Orders[[#This Row],[Sales]])*100</f>
        <v>21.54338627405518</v>
      </c>
    </row>
    <row r="296" spans="1:11" x14ac:dyDescent="0.3">
      <c r="A296" t="s">
        <v>540</v>
      </c>
      <c r="B296" s="1">
        <v>45472</v>
      </c>
      <c r="C296" t="s">
        <v>184</v>
      </c>
      <c r="D296" t="s">
        <v>279</v>
      </c>
      <c r="E296">
        <v>4</v>
      </c>
      <c r="F296">
        <v>24880</v>
      </c>
      <c r="G296">
        <v>3123.58</v>
      </c>
      <c r="H296" t="str">
        <f>TEXT(Orders[[#This Row],[Order_Date]],"mmmm")</f>
        <v>June</v>
      </c>
      <c r="I296">
        <f>YEAR(Orders[[#This Row],[Order_Date]])</f>
        <v>2024</v>
      </c>
      <c r="J296" t="str">
        <f>"Q"&amp;ROUNDUP(MONTH(Orders[[#This Row],[Order_Date]])/3,0)</f>
        <v>Q2</v>
      </c>
      <c r="K296" s="2">
        <f>(Orders[[#This Row],[Profit]]/Orders[[#This Row],[Sales]])*100</f>
        <v>12.55458199356913</v>
      </c>
    </row>
    <row r="297" spans="1:11" x14ac:dyDescent="0.3">
      <c r="A297" t="s">
        <v>541</v>
      </c>
      <c r="B297" s="1">
        <v>45536</v>
      </c>
      <c r="C297" t="s">
        <v>140</v>
      </c>
      <c r="D297" t="s">
        <v>247</v>
      </c>
      <c r="E297">
        <v>5</v>
      </c>
      <c r="F297">
        <v>55780</v>
      </c>
      <c r="G297">
        <v>13448.6</v>
      </c>
      <c r="H297" t="str">
        <f>TEXT(Orders[[#This Row],[Order_Date]],"mmmm")</f>
        <v>September</v>
      </c>
      <c r="I297">
        <f>YEAR(Orders[[#This Row],[Order_Date]])</f>
        <v>2024</v>
      </c>
      <c r="J297" t="str">
        <f>"Q"&amp;ROUNDUP(MONTH(Orders[[#This Row],[Order_Date]])/3,0)</f>
        <v>Q3</v>
      </c>
      <c r="K297" s="2">
        <f>(Orders[[#This Row],[Profit]]/Orders[[#This Row],[Sales]])*100</f>
        <v>24.110075295804947</v>
      </c>
    </row>
    <row r="298" spans="1:11" x14ac:dyDescent="0.3">
      <c r="A298" t="s">
        <v>542</v>
      </c>
      <c r="B298" s="1">
        <v>45454</v>
      </c>
      <c r="C298" t="s">
        <v>17</v>
      </c>
      <c r="D298" t="s">
        <v>283</v>
      </c>
      <c r="E298">
        <v>3</v>
      </c>
      <c r="F298">
        <v>162561</v>
      </c>
      <c r="G298">
        <v>29273.33</v>
      </c>
      <c r="H298" t="str">
        <f>TEXT(Orders[[#This Row],[Order_Date]],"mmmm")</f>
        <v>June</v>
      </c>
      <c r="I298">
        <f>YEAR(Orders[[#This Row],[Order_Date]])</f>
        <v>2024</v>
      </c>
      <c r="J298" t="str">
        <f>"Q"&amp;ROUNDUP(MONTH(Orders[[#This Row],[Order_Date]])/3,0)</f>
        <v>Q2</v>
      </c>
      <c r="K298" s="2">
        <f>(Orders[[#This Row],[Profit]]/Orders[[#This Row],[Sales]])*100</f>
        <v>18.007597148147468</v>
      </c>
    </row>
    <row r="299" spans="1:11" x14ac:dyDescent="0.3">
      <c r="A299" t="s">
        <v>543</v>
      </c>
      <c r="B299" s="1">
        <v>45434</v>
      </c>
      <c r="C299" t="s">
        <v>58</v>
      </c>
      <c r="D299" t="s">
        <v>235</v>
      </c>
      <c r="E299">
        <v>5</v>
      </c>
      <c r="F299">
        <v>56710</v>
      </c>
      <c r="G299">
        <v>9894.58</v>
      </c>
      <c r="H299" t="str">
        <f>TEXT(Orders[[#This Row],[Order_Date]],"mmmm")</f>
        <v>May</v>
      </c>
      <c r="I299">
        <f>YEAR(Orders[[#This Row],[Order_Date]])</f>
        <v>2024</v>
      </c>
      <c r="J299" t="str">
        <f>"Q"&amp;ROUNDUP(MONTH(Orders[[#This Row],[Order_Date]])/3,0)</f>
        <v>Q2</v>
      </c>
      <c r="K299" s="2">
        <f>(Orders[[#This Row],[Profit]]/Orders[[#This Row],[Sales]])*100</f>
        <v>17.447681184976194</v>
      </c>
    </row>
    <row r="300" spans="1:11" x14ac:dyDescent="0.3">
      <c r="A300" t="s">
        <v>544</v>
      </c>
      <c r="B300" s="1">
        <v>45558</v>
      </c>
      <c r="C300" t="s">
        <v>33</v>
      </c>
      <c r="D300" t="s">
        <v>235</v>
      </c>
      <c r="E300">
        <v>3</v>
      </c>
      <c r="F300">
        <v>34026</v>
      </c>
      <c r="G300">
        <v>5123.37</v>
      </c>
      <c r="H300" t="str">
        <f>TEXT(Orders[[#This Row],[Order_Date]],"mmmm")</f>
        <v>September</v>
      </c>
      <c r="I300">
        <f>YEAR(Orders[[#This Row],[Order_Date]])</f>
        <v>2024</v>
      </c>
      <c r="J300" t="str">
        <f>"Q"&amp;ROUNDUP(MONTH(Orders[[#This Row],[Order_Date]])/3,0)</f>
        <v>Q3</v>
      </c>
      <c r="K300" s="2">
        <f>(Orders[[#This Row],[Profit]]/Orders[[#This Row],[Sales]])*100</f>
        <v>15.057220948686298</v>
      </c>
    </row>
    <row r="301" spans="1:11" x14ac:dyDescent="0.3">
      <c r="A301" t="s">
        <v>545</v>
      </c>
      <c r="B301" s="1">
        <v>45585</v>
      </c>
      <c r="C301" t="s">
        <v>22</v>
      </c>
      <c r="D301" t="s">
        <v>245</v>
      </c>
      <c r="E301">
        <v>5</v>
      </c>
      <c r="F301">
        <v>121180</v>
      </c>
      <c r="G301">
        <v>12032.77</v>
      </c>
      <c r="H301" t="str">
        <f>TEXT(Orders[[#This Row],[Order_Date]],"mmmm")</f>
        <v>October</v>
      </c>
      <c r="I301">
        <f>YEAR(Orders[[#This Row],[Order_Date]])</f>
        <v>2024</v>
      </c>
      <c r="J301" t="str">
        <f>"Q"&amp;ROUNDUP(MONTH(Orders[[#This Row],[Order_Date]])/3,0)</f>
        <v>Q4</v>
      </c>
      <c r="K301" s="2">
        <f>(Orders[[#This Row],[Profit]]/Orders[[#This Row],[Sales]])*100</f>
        <v>9.9296666116520882</v>
      </c>
    </row>
    <row r="302" spans="1:11" x14ac:dyDescent="0.3">
      <c r="A302" t="s">
        <v>546</v>
      </c>
      <c r="B302" s="1">
        <v>45464</v>
      </c>
      <c r="C302" t="s">
        <v>154</v>
      </c>
      <c r="D302" t="s">
        <v>344</v>
      </c>
      <c r="E302">
        <v>1</v>
      </c>
      <c r="F302">
        <v>9101</v>
      </c>
      <c r="G302">
        <v>2123.9499999999998</v>
      </c>
      <c r="H302" t="str">
        <f>TEXT(Orders[[#This Row],[Order_Date]],"mmmm")</f>
        <v>June</v>
      </c>
      <c r="I302">
        <f>YEAR(Orders[[#This Row],[Order_Date]])</f>
        <v>2024</v>
      </c>
      <c r="J302" t="str">
        <f>"Q"&amp;ROUNDUP(MONTH(Orders[[#This Row],[Order_Date]])/3,0)</f>
        <v>Q2</v>
      </c>
      <c r="K302" s="2">
        <f>(Orders[[#This Row],[Profit]]/Orders[[#This Row],[Sales]])*100</f>
        <v>23.337545324689593</v>
      </c>
    </row>
    <row r="303" spans="1:11" x14ac:dyDescent="0.3">
      <c r="A303" t="s">
        <v>547</v>
      </c>
      <c r="B303" s="1">
        <v>45590</v>
      </c>
      <c r="C303" t="s">
        <v>114</v>
      </c>
      <c r="D303" t="s">
        <v>241</v>
      </c>
      <c r="E303">
        <v>1</v>
      </c>
      <c r="F303">
        <v>8362</v>
      </c>
      <c r="G303">
        <v>1575.14</v>
      </c>
      <c r="H303" t="str">
        <f>TEXT(Orders[[#This Row],[Order_Date]],"mmmm")</f>
        <v>October</v>
      </c>
      <c r="I303">
        <f>YEAR(Orders[[#This Row],[Order_Date]])</f>
        <v>2024</v>
      </c>
      <c r="J303" t="str">
        <f>"Q"&amp;ROUNDUP(MONTH(Orders[[#This Row],[Order_Date]])/3,0)</f>
        <v>Q4</v>
      </c>
      <c r="K303" s="2">
        <f>(Orders[[#This Row],[Profit]]/Orders[[#This Row],[Sales]])*100</f>
        <v>18.836881128916527</v>
      </c>
    </row>
    <row r="304" spans="1:11" x14ac:dyDescent="0.3">
      <c r="A304" t="s">
        <v>548</v>
      </c>
      <c r="B304" s="1">
        <v>45520</v>
      </c>
      <c r="C304" t="s">
        <v>37</v>
      </c>
      <c r="D304" t="s">
        <v>316</v>
      </c>
      <c r="E304">
        <v>1</v>
      </c>
      <c r="F304">
        <v>54384</v>
      </c>
      <c r="G304">
        <v>12182.79</v>
      </c>
      <c r="H304" t="str">
        <f>TEXT(Orders[[#This Row],[Order_Date]],"mmmm")</f>
        <v>August</v>
      </c>
      <c r="I304">
        <f>YEAR(Orders[[#This Row],[Order_Date]])</f>
        <v>2024</v>
      </c>
      <c r="J304" t="str">
        <f>"Q"&amp;ROUNDUP(MONTH(Orders[[#This Row],[Order_Date]])/3,0)</f>
        <v>Q3</v>
      </c>
      <c r="K304" s="2">
        <f>(Orders[[#This Row],[Profit]]/Orders[[#This Row],[Sales]])*100</f>
        <v>22.401423212709624</v>
      </c>
    </row>
    <row r="305" spans="1:11" x14ac:dyDescent="0.3">
      <c r="A305" t="s">
        <v>549</v>
      </c>
      <c r="B305" s="1">
        <v>45374</v>
      </c>
      <c r="C305" t="s">
        <v>104</v>
      </c>
      <c r="D305" t="s">
        <v>255</v>
      </c>
      <c r="E305">
        <v>5</v>
      </c>
      <c r="F305">
        <v>128040</v>
      </c>
      <c r="G305">
        <v>10317.34</v>
      </c>
      <c r="H305" t="str">
        <f>TEXT(Orders[[#This Row],[Order_Date]],"mmmm")</f>
        <v>March</v>
      </c>
      <c r="I305">
        <f>YEAR(Orders[[#This Row],[Order_Date]])</f>
        <v>2024</v>
      </c>
      <c r="J305" t="str">
        <f>"Q"&amp;ROUNDUP(MONTH(Orders[[#This Row],[Order_Date]])/3,0)</f>
        <v>Q1</v>
      </c>
      <c r="K305" s="2">
        <f>(Orders[[#This Row],[Profit]]/Orders[[#This Row],[Sales]])*100</f>
        <v>8.0579037800687292</v>
      </c>
    </row>
    <row r="306" spans="1:11" x14ac:dyDescent="0.3">
      <c r="A306" t="s">
        <v>550</v>
      </c>
      <c r="B306" s="1">
        <v>45589</v>
      </c>
      <c r="C306" t="s">
        <v>102</v>
      </c>
      <c r="D306" t="s">
        <v>253</v>
      </c>
      <c r="E306">
        <v>2</v>
      </c>
      <c r="F306">
        <v>12050</v>
      </c>
      <c r="G306">
        <v>1263.3800000000001</v>
      </c>
      <c r="H306" t="str">
        <f>TEXT(Orders[[#This Row],[Order_Date]],"mmmm")</f>
        <v>October</v>
      </c>
      <c r="I306">
        <f>YEAR(Orders[[#This Row],[Order_Date]])</f>
        <v>2024</v>
      </c>
      <c r="J306" t="str">
        <f>"Q"&amp;ROUNDUP(MONTH(Orders[[#This Row],[Order_Date]])/3,0)</f>
        <v>Q4</v>
      </c>
      <c r="K306" s="2">
        <f>(Orders[[#This Row],[Profit]]/Orders[[#This Row],[Sales]])*100</f>
        <v>10.484481327800831</v>
      </c>
    </row>
    <row r="307" spans="1:11" x14ac:dyDescent="0.3">
      <c r="A307" t="s">
        <v>551</v>
      </c>
      <c r="B307" s="1">
        <v>45552</v>
      </c>
      <c r="C307" t="s">
        <v>56</v>
      </c>
      <c r="D307" t="s">
        <v>245</v>
      </c>
      <c r="E307">
        <v>1</v>
      </c>
      <c r="F307">
        <v>24236</v>
      </c>
      <c r="G307">
        <v>3603.31</v>
      </c>
      <c r="H307" t="str">
        <f>TEXT(Orders[[#This Row],[Order_Date]],"mmmm")</f>
        <v>September</v>
      </c>
      <c r="I307">
        <f>YEAR(Orders[[#This Row],[Order_Date]])</f>
        <v>2024</v>
      </c>
      <c r="J307" t="str">
        <f>"Q"&amp;ROUNDUP(MONTH(Orders[[#This Row],[Order_Date]])/3,0)</f>
        <v>Q3</v>
      </c>
      <c r="K307" s="2">
        <f>(Orders[[#This Row],[Profit]]/Orders[[#This Row],[Sales]])*100</f>
        <v>14.867593662320514</v>
      </c>
    </row>
    <row r="308" spans="1:11" x14ac:dyDescent="0.3">
      <c r="A308" t="s">
        <v>552</v>
      </c>
      <c r="B308" s="1">
        <v>45603</v>
      </c>
      <c r="C308" t="s">
        <v>126</v>
      </c>
      <c r="D308" t="s">
        <v>253</v>
      </c>
      <c r="E308">
        <v>3</v>
      </c>
      <c r="F308">
        <v>18075</v>
      </c>
      <c r="G308">
        <v>4063.58</v>
      </c>
      <c r="H308" t="str">
        <f>TEXT(Orders[[#This Row],[Order_Date]],"mmmm")</f>
        <v>November</v>
      </c>
      <c r="I308">
        <f>YEAR(Orders[[#This Row],[Order_Date]])</f>
        <v>2024</v>
      </c>
      <c r="J308" t="str">
        <f>"Q"&amp;ROUNDUP(MONTH(Orders[[#This Row],[Order_Date]])/3,0)</f>
        <v>Q4</v>
      </c>
      <c r="K308" s="2">
        <f>(Orders[[#This Row],[Profit]]/Orders[[#This Row],[Sales]])*100</f>
        <v>22.481770401106498</v>
      </c>
    </row>
    <row r="309" spans="1:11" x14ac:dyDescent="0.3">
      <c r="A309" t="s">
        <v>553</v>
      </c>
      <c r="B309" s="1">
        <v>45418</v>
      </c>
      <c r="C309" t="s">
        <v>114</v>
      </c>
      <c r="D309" t="s">
        <v>247</v>
      </c>
      <c r="E309">
        <v>1</v>
      </c>
      <c r="F309">
        <v>11156</v>
      </c>
      <c r="G309">
        <v>2348.15</v>
      </c>
      <c r="H309" t="str">
        <f>TEXT(Orders[[#This Row],[Order_Date]],"mmmm")</f>
        <v>May</v>
      </c>
      <c r="I309">
        <f>YEAR(Orders[[#This Row],[Order_Date]])</f>
        <v>2024</v>
      </c>
      <c r="J309" t="str">
        <f>"Q"&amp;ROUNDUP(MONTH(Orders[[#This Row],[Order_Date]])/3,0)</f>
        <v>Q2</v>
      </c>
      <c r="K309" s="2">
        <f>(Orders[[#This Row],[Profit]]/Orders[[#This Row],[Sales]])*100</f>
        <v>21.048314808174972</v>
      </c>
    </row>
    <row r="310" spans="1:11" x14ac:dyDescent="0.3">
      <c r="A310" t="s">
        <v>554</v>
      </c>
      <c r="B310" s="1">
        <v>45608</v>
      </c>
      <c r="C310" t="s">
        <v>86</v>
      </c>
      <c r="D310" t="s">
        <v>229</v>
      </c>
      <c r="E310">
        <v>5</v>
      </c>
      <c r="F310">
        <v>44365</v>
      </c>
      <c r="G310">
        <v>5690.06</v>
      </c>
      <c r="H310" t="str">
        <f>TEXT(Orders[[#This Row],[Order_Date]],"mmmm")</f>
        <v>November</v>
      </c>
      <c r="I310">
        <f>YEAR(Orders[[#This Row],[Order_Date]])</f>
        <v>2024</v>
      </c>
      <c r="J310" t="str">
        <f>"Q"&amp;ROUNDUP(MONTH(Orders[[#This Row],[Order_Date]])/3,0)</f>
        <v>Q4</v>
      </c>
      <c r="K310" s="2">
        <f>(Orders[[#This Row],[Profit]]/Orders[[#This Row],[Sales]])*100</f>
        <v>12.825560689732898</v>
      </c>
    </row>
    <row r="311" spans="1:11" x14ac:dyDescent="0.3">
      <c r="A311" t="s">
        <v>555</v>
      </c>
      <c r="B311" s="1">
        <v>45428</v>
      </c>
      <c r="C311" t="s">
        <v>39</v>
      </c>
      <c r="D311" t="s">
        <v>237</v>
      </c>
      <c r="E311">
        <v>2</v>
      </c>
      <c r="F311">
        <v>17252</v>
      </c>
      <c r="G311">
        <v>4032.62</v>
      </c>
      <c r="H311" t="str">
        <f>TEXT(Orders[[#This Row],[Order_Date]],"mmmm")</f>
        <v>May</v>
      </c>
      <c r="I311">
        <f>YEAR(Orders[[#This Row],[Order_Date]])</f>
        <v>2024</v>
      </c>
      <c r="J311" t="str">
        <f>"Q"&amp;ROUNDUP(MONTH(Orders[[#This Row],[Order_Date]])/3,0)</f>
        <v>Q2</v>
      </c>
      <c r="K311" s="2">
        <f>(Orders[[#This Row],[Profit]]/Orders[[#This Row],[Sales]])*100</f>
        <v>23.374797124971018</v>
      </c>
    </row>
    <row r="312" spans="1:11" x14ac:dyDescent="0.3">
      <c r="A312" t="s">
        <v>556</v>
      </c>
      <c r="B312" s="1">
        <v>45620</v>
      </c>
      <c r="C312" t="s">
        <v>124</v>
      </c>
      <c r="D312" t="s">
        <v>237</v>
      </c>
      <c r="E312">
        <v>2</v>
      </c>
      <c r="F312">
        <v>17252</v>
      </c>
      <c r="G312">
        <v>2208.48</v>
      </c>
      <c r="H312" t="str">
        <f>TEXT(Orders[[#This Row],[Order_Date]],"mmmm")</f>
        <v>November</v>
      </c>
      <c r="I312">
        <f>YEAR(Orders[[#This Row],[Order_Date]])</f>
        <v>2024</v>
      </c>
      <c r="J312" t="str">
        <f>"Q"&amp;ROUNDUP(MONTH(Orders[[#This Row],[Order_Date]])/3,0)</f>
        <v>Q4</v>
      </c>
      <c r="K312" s="2">
        <f>(Orders[[#This Row],[Profit]]/Orders[[#This Row],[Sales]])*100</f>
        <v>12.801298400185484</v>
      </c>
    </row>
    <row r="313" spans="1:11" x14ac:dyDescent="0.3">
      <c r="A313" t="s">
        <v>557</v>
      </c>
      <c r="B313" s="1">
        <v>45537</v>
      </c>
      <c r="C313" t="s">
        <v>86</v>
      </c>
      <c r="D313" t="s">
        <v>227</v>
      </c>
      <c r="E313">
        <v>2</v>
      </c>
      <c r="F313">
        <v>18788</v>
      </c>
      <c r="G313">
        <v>1818.69</v>
      </c>
      <c r="H313" t="str">
        <f>TEXT(Orders[[#This Row],[Order_Date]],"mmmm")</f>
        <v>September</v>
      </c>
      <c r="I313">
        <f>YEAR(Orders[[#This Row],[Order_Date]])</f>
        <v>2024</v>
      </c>
      <c r="J313" t="str">
        <f>"Q"&amp;ROUNDUP(MONTH(Orders[[#This Row],[Order_Date]])/3,0)</f>
        <v>Q3</v>
      </c>
      <c r="K313" s="2">
        <f>(Orders[[#This Row],[Profit]]/Orders[[#This Row],[Sales]])*100</f>
        <v>9.6800617415371519</v>
      </c>
    </row>
    <row r="314" spans="1:11" x14ac:dyDescent="0.3">
      <c r="A314" t="s">
        <v>558</v>
      </c>
      <c r="B314" s="1">
        <v>45396</v>
      </c>
      <c r="C314" t="s">
        <v>29</v>
      </c>
      <c r="D314" t="s">
        <v>255</v>
      </c>
      <c r="E314">
        <v>3</v>
      </c>
      <c r="F314">
        <v>76824</v>
      </c>
      <c r="G314">
        <v>16429.419999999998</v>
      </c>
      <c r="H314" t="str">
        <f>TEXT(Orders[[#This Row],[Order_Date]],"mmmm")</f>
        <v>April</v>
      </c>
      <c r="I314">
        <f>YEAR(Orders[[#This Row],[Order_Date]])</f>
        <v>2024</v>
      </c>
      <c r="J314" t="str">
        <f>"Q"&amp;ROUNDUP(MONTH(Orders[[#This Row],[Order_Date]])/3,0)</f>
        <v>Q2</v>
      </c>
      <c r="K314" s="2">
        <f>(Orders[[#This Row],[Profit]]/Orders[[#This Row],[Sales]])*100</f>
        <v>21.385790898677495</v>
      </c>
    </row>
    <row r="315" spans="1:11" x14ac:dyDescent="0.3">
      <c r="A315" t="s">
        <v>559</v>
      </c>
      <c r="B315" s="1">
        <v>45443</v>
      </c>
      <c r="C315" t="s">
        <v>158</v>
      </c>
      <c r="D315" t="s">
        <v>237</v>
      </c>
      <c r="E315">
        <v>5</v>
      </c>
      <c r="F315">
        <v>43130</v>
      </c>
      <c r="G315">
        <v>5763.37</v>
      </c>
      <c r="H315" t="str">
        <f>TEXT(Orders[[#This Row],[Order_Date]],"mmmm")</f>
        <v>May</v>
      </c>
      <c r="I315">
        <f>YEAR(Orders[[#This Row],[Order_Date]])</f>
        <v>2024</v>
      </c>
      <c r="J315" t="str">
        <f>"Q"&amp;ROUNDUP(MONTH(Orders[[#This Row],[Order_Date]])/3,0)</f>
        <v>Q2</v>
      </c>
      <c r="K315" s="2">
        <f>(Orders[[#This Row],[Profit]]/Orders[[#This Row],[Sales]])*100</f>
        <v>13.362786923255273</v>
      </c>
    </row>
    <row r="316" spans="1:11" x14ac:dyDescent="0.3">
      <c r="A316" t="s">
        <v>560</v>
      </c>
      <c r="B316" s="1">
        <v>45478</v>
      </c>
      <c r="C316" t="s">
        <v>152</v>
      </c>
      <c r="D316" t="s">
        <v>260</v>
      </c>
      <c r="E316">
        <v>1</v>
      </c>
      <c r="F316">
        <v>55950</v>
      </c>
      <c r="G316">
        <v>8682.2199999999993</v>
      </c>
      <c r="H316" t="str">
        <f>TEXT(Orders[[#This Row],[Order_Date]],"mmmm")</f>
        <v>July</v>
      </c>
      <c r="I316">
        <f>YEAR(Orders[[#This Row],[Order_Date]])</f>
        <v>2024</v>
      </c>
      <c r="J316" t="str">
        <f>"Q"&amp;ROUNDUP(MONTH(Orders[[#This Row],[Order_Date]])/3,0)</f>
        <v>Q3</v>
      </c>
      <c r="K316" s="2">
        <f>(Orders[[#This Row],[Profit]]/Orders[[#This Row],[Sales]])*100</f>
        <v>15.517819481680069</v>
      </c>
    </row>
    <row r="317" spans="1:11" x14ac:dyDescent="0.3">
      <c r="A317" t="s">
        <v>561</v>
      </c>
      <c r="B317" s="1">
        <v>45505</v>
      </c>
      <c r="C317" t="s">
        <v>210</v>
      </c>
      <c r="D317" t="s">
        <v>247</v>
      </c>
      <c r="E317">
        <v>1</v>
      </c>
      <c r="F317">
        <v>11156</v>
      </c>
      <c r="G317">
        <v>2768.67</v>
      </c>
      <c r="H317" t="str">
        <f>TEXT(Orders[[#This Row],[Order_Date]],"mmmm")</f>
        <v>August</v>
      </c>
      <c r="I317">
        <f>YEAR(Orders[[#This Row],[Order_Date]])</f>
        <v>2024</v>
      </c>
      <c r="J317" t="str">
        <f>"Q"&amp;ROUNDUP(MONTH(Orders[[#This Row],[Order_Date]])/3,0)</f>
        <v>Q3</v>
      </c>
      <c r="K317" s="2">
        <f>(Orders[[#This Row],[Profit]]/Orders[[#This Row],[Sales]])*100</f>
        <v>24.817766224453212</v>
      </c>
    </row>
    <row r="318" spans="1:11" x14ac:dyDescent="0.3">
      <c r="A318" t="s">
        <v>562</v>
      </c>
      <c r="B318" s="1">
        <v>45593</v>
      </c>
      <c r="C318" t="s">
        <v>210</v>
      </c>
      <c r="D318" t="s">
        <v>257</v>
      </c>
      <c r="E318">
        <v>5</v>
      </c>
      <c r="F318">
        <v>33735</v>
      </c>
      <c r="G318">
        <v>2931.79</v>
      </c>
      <c r="H318" t="str">
        <f>TEXT(Orders[[#This Row],[Order_Date]],"mmmm")</f>
        <v>October</v>
      </c>
      <c r="I318">
        <f>YEAR(Orders[[#This Row],[Order_Date]])</f>
        <v>2024</v>
      </c>
      <c r="J318" t="str">
        <f>"Q"&amp;ROUNDUP(MONTH(Orders[[#This Row],[Order_Date]])/3,0)</f>
        <v>Q4</v>
      </c>
      <c r="K318" s="2">
        <f>(Orders[[#This Row],[Profit]]/Orders[[#This Row],[Sales]])*100</f>
        <v>8.6906476952719736</v>
      </c>
    </row>
    <row r="319" spans="1:11" x14ac:dyDescent="0.3">
      <c r="A319" t="s">
        <v>563</v>
      </c>
      <c r="B319" s="1">
        <v>45393</v>
      </c>
      <c r="C319" t="s">
        <v>198</v>
      </c>
      <c r="D319" t="s">
        <v>255</v>
      </c>
      <c r="E319">
        <v>4</v>
      </c>
      <c r="F319">
        <v>102432</v>
      </c>
      <c r="G319">
        <v>11405.09</v>
      </c>
      <c r="H319" t="str">
        <f>TEXT(Orders[[#This Row],[Order_Date]],"mmmm")</f>
        <v>April</v>
      </c>
      <c r="I319">
        <f>YEAR(Orders[[#This Row],[Order_Date]])</f>
        <v>2024</v>
      </c>
      <c r="J319" t="str">
        <f>"Q"&amp;ROUNDUP(MONTH(Orders[[#This Row],[Order_Date]])/3,0)</f>
        <v>Q2</v>
      </c>
      <c r="K319" s="2">
        <f>(Orders[[#This Row],[Profit]]/Orders[[#This Row],[Sales]])*100</f>
        <v>11.134303733208373</v>
      </c>
    </row>
    <row r="320" spans="1:11" x14ac:dyDescent="0.3">
      <c r="A320" t="s">
        <v>564</v>
      </c>
      <c r="B320" s="1">
        <v>45592</v>
      </c>
      <c r="C320" t="s">
        <v>78</v>
      </c>
      <c r="D320" t="s">
        <v>239</v>
      </c>
      <c r="E320">
        <v>5</v>
      </c>
      <c r="F320">
        <v>125795</v>
      </c>
      <c r="G320">
        <v>12844.64</v>
      </c>
      <c r="H320" t="str">
        <f>TEXT(Orders[[#This Row],[Order_Date]],"mmmm")</f>
        <v>October</v>
      </c>
      <c r="I320">
        <f>YEAR(Orders[[#This Row],[Order_Date]])</f>
        <v>2024</v>
      </c>
      <c r="J320" t="str">
        <f>"Q"&amp;ROUNDUP(MONTH(Orders[[#This Row],[Order_Date]])/3,0)</f>
        <v>Q4</v>
      </c>
      <c r="K320" s="2">
        <f>(Orders[[#This Row],[Profit]]/Orders[[#This Row],[Sales]])*100</f>
        <v>10.210771493302595</v>
      </c>
    </row>
    <row r="321" spans="1:11" x14ac:dyDescent="0.3">
      <c r="A321" t="s">
        <v>565</v>
      </c>
      <c r="B321" s="1">
        <v>45320</v>
      </c>
      <c r="C321" t="s">
        <v>148</v>
      </c>
      <c r="D321" t="s">
        <v>239</v>
      </c>
      <c r="E321">
        <v>3</v>
      </c>
      <c r="F321">
        <v>75477</v>
      </c>
      <c r="G321">
        <v>11919.08</v>
      </c>
      <c r="H321" t="str">
        <f>TEXT(Orders[[#This Row],[Order_Date]],"mmmm")</f>
        <v>January</v>
      </c>
      <c r="I321">
        <f>YEAR(Orders[[#This Row],[Order_Date]])</f>
        <v>2024</v>
      </c>
      <c r="J321" t="str">
        <f>"Q"&amp;ROUNDUP(MONTH(Orders[[#This Row],[Order_Date]])/3,0)</f>
        <v>Q1</v>
      </c>
      <c r="K321" s="2">
        <f>(Orders[[#This Row],[Profit]]/Orders[[#This Row],[Sales]])*100</f>
        <v>15.791671635067637</v>
      </c>
    </row>
    <row r="322" spans="1:11" x14ac:dyDescent="0.3">
      <c r="A322" t="s">
        <v>566</v>
      </c>
      <c r="B322" s="1">
        <v>45606</v>
      </c>
      <c r="C322" t="s">
        <v>112</v>
      </c>
      <c r="D322" t="s">
        <v>266</v>
      </c>
      <c r="E322">
        <v>3</v>
      </c>
      <c r="F322">
        <v>33705</v>
      </c>
      <c r="G322">
        <v>8008.31</v>
      </c>
      <c r="H322" t="str">
        <f>TEXT(Orders[[#This Row],[Order_Date]],"mmmm")</f>
        <v>November</v>
      </c>
      <c r="I322">
        <f>YEAR(Orders[[#This Row],[Order_Date]])</f>
        <v>2024</v>
      </c>
      <c r="J322" t="str">
        <f>"Q"&amp;ROUNDUP(MONTH(Orders[[#This Row],[Order_Date]])/3,0)</f>
        <v>Q4</v>
      </c>
      <c r="K322" s="2">
        <f>(Orders[[#This Row],[Profit]]/Orders[[#This Row],[Sales]])*100</f>
        <v>23.760005933837711</v>
      </c>
    </row>
    <row r="323" spans="1:11" x14ac:dyDescent="0.3">
      <c r="A323" t="s">
        <v>567</v>
      </c>
      <c r="B323" s="1">
        <v>45617</v>
      </c>
      <c r="C323" t="s">
        <v>204</v>
      </c>
      <c r="D323" t="s">
        <v>253</v>
      </c>
      <c r="E323">
        <v>2</v>
      </c>
      <c r="F323">
        <v>12050</v>
      </c>
      <c r="G323">
        <v>2860.12</v>
      </c>
      <c r="H323" t="str">
        <f>TEXT(Orders[[#This Row],[Order_Date]],"mmmm")</f>
        <v>November</v>
      </c>
      <c r="I323">
        <f>YEAR(Orders[[#This Row],[Order_Date]])</f>
        <v>2024</v>
      </c>
      <c r="J323" t="str">
        <f>"Q"&amp;ROUNDUP(MONTH(Orders[[#This Row],[Order_Date]])/3,0)</f>
        <v>Q4</v>
      </c>
      <c r="K323" s="2">
        <f>(Orders[[#This Row],[Profit]]/Orders[[#This Row],[Sales]])*100</f>
        <v>23.735435684647303</v>
      </c>
    </row>
    <row r="324" spans="1:11" x14ac:dyDescent="0.3">
      <c r="A324" t="s">
        <v>568</v>
      </c>
      <c r="B324" s="1">
        <v>45421</v>
      </c>
      <c r="C324" t="s">
        <v>13</v>
      </c>
      <c r="D324" t="s">
        <v>344</v>
      </c>
      <c r="E324">
        <v>4</v>
      </c>
      <c r="F324">
        <v>36404</v>
      </c>
      <c r="G324">
        <v>3111.99</v>
      </c>
      <c r="H324" t="str">
        <f>TEXT(Orders[[#This Row],[Order_Date]],"mmmm")</f>
        <v>May</v>
      </c>
      <c r="I324">
        <f>YEAR(Orders[[#This Row],[Order_Date]])</f>
        <v>2024</v>
      </c>
      <c r="J324" t="str">
        <f>"Q"&amp;ROUNDUP(MONTH(Orders[[#This Row],[Order_Date]])/3,0)</f>
        <v>Q2</v>
      </c>
      <c r="K324" s="2">
        <f>(Orders[[#This Row],[Profit]]/Orders[[#This Row],[Sales]])*100</f>
        <v>8.5484836831117441</v>
      </c>
    </row>
    <row r="325" spans="1:11" x14ac:dyDescent="0.3">
      <c r="A325" t="s">
        <v>569</v>
      </c>
      <c r="B325" s="1">
        <v>45335</v>
      </c>
      <c r="C325" t="s">
        <v>160</v>
      </c>
      <c r="D325" t="s">
        <v>247</v>
      </c>
      <c r="E325">
        <v>1</v>
      </c>
      <c r="F325">
        <v>11156</v>
      </c>
      <c r="G325">
        <v>1328.85</v>
      </c>
      <c r="H325" t="str">
        <f>TEXT(Orders[[#This Row],[Order_Date]],"mmmm")</f>
        <v>February</v>
      </c>
      <c r="I325">
        <f>YEAR(Orders[[#This Row],[Order_Date]])</f>
        <v>2024</v>
      </c>
      <c r="J325" t="str">
        <f>"Q"&amp;ROUNDUP(MONTH(Orders[[#This Row],[Order_Date]])/3,0)</f>
        <v>Q1</v>
      </c>
      <c r="K325" s="2">
        <f>(Orders[[#This Row],[Profit]]/Orders[[#This Row],[Sales]])*100</f>
        <v>11.911527429186087</v>
      </c>
    </row>
    <row r="326" spans="1:11" x14ac:dyDescent="0.3">
      <c r="A326" t="s">
        <v>570</v>
      </c>
      <c r="B326" s="1">
        <v>45394</v>
      </c>
      <c r="C326" t="s">
        <v>154</v>
      </c>
      <c r="D326" t="s">
        <v>257</v>
      </c>
      <c r="E326">
        <v>1</v>
      </c>
      <c r="F326">
        <v>6747</v>
      </c>
      <c r="G326">
        <v>1624.64</v>
      </c>
      <c r="H326" t="str">
        <f>TEXT(Orders[[#This Row],[Order_Date]],"mmmm")</f>
        <v>April</v>
      </c>
      <c r="I326">
        <f>YEAR(Orders[[#This Row],[Order_Date]])</f>
        <v>2024</v>
      </c>
      <c r="J326" t="str">
        <f>"Q"&amp;ROUNDUP(MONTH(Orders[[#This Row],[Order_Date]])/3,0)</f>
        <v>Q2</v>
      </c>
      <c r="K326" s="2">
        <f>(Orders[[#This Row],[Profit]]/Orders[[#This Row],[Sales]])*100</f>
        <v>24.079442715280866</v>
      </c>
    </row>
    <row r="327" spans="1:11" x14ac:dyDescent="0.3">
      <c r="A327" t="s">
        <v>571</v>
      </c>
      <c r="B327" s="1">
        <v>45551</v>
      </c>
      <c r="C327" t="s">
        <v>72</v>
      </c>
      <c r="D327" t="s">
        <v>266</v>
      </c>
      <c r="E327">
        <v>3</v>
      </c>
      <c r="F327">
        <v>33705</v>
      </c>
      <c r="G327">
        <v>4088.87</v>
      </c>
      <c r="H327" t="str">
        <f>TEXT(Orders[[#This Row],[Order_Date]],"mmmm")</f>
        <v>September</v>
      </c>
      <c r="I327">
        <f>YEAR(Orders[[#This Row],[Order_Date]])</f>
        <v>2024</v>
      </c>
      <c r="J327" t="str">
        <f>"Q"&amp;ROUNDUP(MONTH(Orders[[#This Row],[Order_Date]])/3,0)</f>
        <v>Q3</v>
      </c>
      <c r="K327" s="2">
        <f>(Orders[[#This Row],[Profit]]/Orders[[#This Row],[Sales]])*100</f>
        <v>12.131345497700638</v>
      </c>
    </row>
    <row r="328" spans="1:11" x14ac:dyDescent="0.3">
      <c r="A328" t="s">
        <v>572</v>
      </c>
      <c r="B328" s="1">
        <v>45329</v>
      </c>
      <c r="C328" t="s">
        <v>114</v>
      </c>
      <c r="D328" t="s">
        <v>233</v>
      </c>
      <c r="E328">
        <v>4</v>
      </c>
      <c r="F328">
        <v>222780</v>
      </c>
      <c r="G328">
        <v>53591.12</v>
      </c>
      <c r="H328" t="str">
        <f>TEXT(Orders[[#This Row],[Order_Date]],"mmmm")</f>
        <v>February</v>
      </c>
      <c r="I328">
        <f>YEAR(Orders[[#This Row],[Order_Date]])</f>
        <v>2024</v>
      </c>
      <c r="J328" t="str">
        <f>"Q"&amp;ROUNDUP(MONTH(Orders[[#This Row],[Order_Date]])/3,0)</f>
        <v>Q1</v>
      </c>
      <c r="K328" s="2">
        <f>(Orders[[#This Row],[Profit]]/Orders[[#This Row],[Sales]])*100</f>
        <v>24.055624382799177</v>
      </c>
    </row>
    <row r="329" spans="1:11" x14ac:dyDescent="0.3">
      <c r="A329" t="s">
        <v>573</v>
      </c>
      <c r="B329" s="1">
        <v>45611</v>
      </c>
      <c r="C329" t="s">
        <v>68</v>
      </c>
      <c r="D329" t="s">
        <v>235</v>
      </c>
      <c r="E329">
        <v>2</v>
      </c>
      <c r="F329">
        <v>22684</v>
      </c>
      <c r="G329">
        <v>2537.87</v>
      </c>
      <c r="H329" t="str">
        <f>TEXT(Orders[[#This Row],[Order_Date]],"mmmm")</f>
        <v>November</v>
      </c>
      <c r="I329">
        <f>YEAR(Orders[[#This Row],[Order_Date]])</f>
        <v>2024</v>
      </c>
      <c r="J329" t="str">
        <f>"Q"&amp;ROUNDUP(MONTH(Orders[[#This Row],[Order_Date]])/3,0)</f>
        <v>Q4</v>
      </c>
      <c r="K329" s="2">
        <f>(Orders[[#This Row],[Profit]]/Orders[[#This Row],[Sales]])*100</f>
        <v>11.187929818374185</v>
      </c>
    </row>
    <row r="330" spans="1:11" x14ac:dyDescent="0.3">
      <c r="A330" t="s">
        <v>574</v>
      </c>
      <c r="B330" s="1">
        <v>45478</v>
      </c>
      <c r="C330" t="s">
        <v>96</v>
      </c>
      <c r="D330" t="s">
        <v>245</v>
      </c>
      <c r="E330">
        <v>4</v>
      </c>
      <c r="F330">
        <v>96944</v>
      </c>
      <c r="G330">
        <v>17868.98</v>
      </c>
      <c r="H330" t="str">
        <f>TEXT(Orders[[#This Row],[Order_Date]],"mmmm")</f>
        <v>July</v>
      </c>
      <c r="I330">
        <f>YEAR(Orders[[#This Row],[Order_Date]])</f>
        <v>2024</v>
      </c>
      <c r="J330" t="str">
        <f>"Q"&amp;ROUNDUP(MONTH(Orders[[#This Row],[Order_Date]])/3,0)</f>
        <v>Q3</v>
      </c>
      <c r="K330" s="2">
        <f>(Orders[[#This Row],[Profit]]/Orders[[#This Row],[Sales]])*100</f>
        <v>18.432270176596798</v>
      </c>
    </row>
    <row r="331" spans="1:11" x14ac:dyDescent="0.3">
      <c r="A331" t="s">
        <v>575</v>
      </c>
      <c r="B331" s="1">
        <v>45629</v>
      </c>
      <c r="C331" t="s">
        <v>17</v>
      </c>
      <c r="D331" t="s">
        <v>316</v>
      </c>
      <c r="E331">
        <v>1</v>
      </c>
      <c r="F331">
        <v>54384</v>
      </c>
      <c r="G331">
        <v>12949.16</v>
      </c>
      <c r="H331" t="str">
        <f>TEXT(Orders[[#This Row],[Order_Date]],"mmmm")</f>
        <v>December</v>
      </c>
      <c r="I331">
        <f>YEAR(Orders[[#This Row],[Order_Date]])</f>
        <v>2024</v>
      </c>
      <c r="J331" t="str">
        <f>"Q"&amp;ROUNDUP(MONTH(Orders[[#This Row],[Order_Date]])/3,0)</f>
        <v>Q4</v>
      </c>
      <c r="K331" s="2">
        <f>(Orders[[#This Row],[Profit]]/Orders[[#This Row],[Sales]])*100</f>
        <v>23.810606060606059</v>
      </c>
    </row>
    <row r="332" spans="1:11" x14ac:dyDescent="0.3">
      <c r="A332" t="s">
        <v>576</v>
      </c>
      <c r="B332" s="1">
        <v>45513</v>
      </c>
      <c r="C332" t="s">
        <v>180</v>
      </c>
      <c r="D332" t="s">
        <v>245</v>
      </c>
      <c r="E332">
        <v>5</v>
      </c>
      <c r="F332">
        <v>121180</v>
      </c>
      <c r="G332">
        <v>29310.240000000002</v>
      </c>
      <c r="H332" t="str">
        <f>TEXT(Orders[[#This Row],[Order_Date]],"mmmm")</f>
        <v>August</v>
      </c>
      <c r="I332">
        <f>YEAR(Orders[[#This Row],[Order_Date]])</f>
        <v>2024</v>
      </c>
      <c r="J332" t="str">
        <f>"Q"&amp;ROUNDUP(MONTH(Orders[[#This Row],[Order_Date]])/3,0)</f>
        <v>Q3</v>
      </c>
      <c r="K332" s="2">
        <f>(Orders[[#This Row],[Profit]]/Orders[[#This Row],[Sales]])*100</f>
        <v>24.187357649777191</v>
      </c>
    </row>
    <row r="333" spans="1:11" x14ac:dyDescent="0.3">
      <c r="A333" t="s">
        <v>577</v>
      </c>
      <c r="B333" s="1">
        <v>45623</v>
      </c>
      <c r="C333" t="s">
        <v>200</v>
      </c>
      <c r="D333" t="s">
        <v>245</v>
      </c>
      <c r="E333">
        <v>3</v>
      </c>
      <c r="F333">
        <v>72708</v>
      </c>
      <c r="G333">
        <v>10005.450000000001</v>
      </c>
      <c r="H333" t="str">
        <f>TEXT(Orders[[#This Row],[Order_Date]],"mmmm")</f>
        <v>November</v>
      </c>
      <c r="I333">
        <f>YEAR(Orders[[#This Row],[Order_Date]])</f>
        <v>2024</v>
      </c>
      <c r="J333" t="str">
        <f>"Q"&amp;ROUNDUP(MONTH(Orders[[#This Row],[Order_Date]])/3,0)</f>
        <v>Q4</v>
      </c>
      <c r="K333" s="2">
        <f>(Orders[[#This Row],[Profit]]/Orders[[#This Row],[Sales]])*100</f>
        <v>13.76114045221984</v>
      </c>
    </row>
    <row r="334" spans="1:11" x14ac:dyDescent="0.3">
      <c r="A334" t="s">
        <v>578</v>
      </c>
      <c r="B334" s="1">
        <v>45603</v>
      </c>
      <c r="C334" t="s">
        <v>126</v>
      </c>
      <c r="D334" t="s">
        <v>263</v>
      </c>
      <c r="E334">
        <v>5</v>
      </c>
      <c r="F334">
        <v>35775</v>
      </c>
      <c r="G334">
        <v>7753.09</v>
      </c>
      <c r="H334" t="str">
        <f>TEXT(Orders[[#This Row],[Order_Date]],"mmmm")</f>
        <v>November</v>
      </c>
      <c r="I334">
        <f>YEAR(Orders[[#This Row],[Order_Date]])</f>
        <v>2024</v>
      </c>
      <c r="J334" t="str">
        <f>"Q"&amp;ROUNDUP(MONTH(Orders[[#This Row],[Order_Date]])/3,0)</f>
        <v>Q4</v>
      </c>
      <c r="K334" s="2">
        <f>(Orders[[#This Row],[Profit]]/Orders[[#This Row],[Sales]])*100</f>
        <v>21.671809923130677</v>
      </c>
    </row>
    <row r="335" spans="1:11" x14ac:dyDescent="0.3">
      <c r="A335" t="s">
        <v>579</v>
      </c>
      <c r="B335" s="1">
        <v>45599</v>
      </c>
      <c r="C335" t="s">
        <v>164</v>
      </c>
      <c r="D335" t="s">
        <v>241</v>
      </c>
      <c r="E335">
        <v>5</v>
      </c>
      <c r="F335">
        <v>41810</v>
      </c>
      <c r="G335">
        <v>9422.76</v>
      </c>
      <c r="H335" t="str">
        <f>TEXT(Orders[[#This Row],[Order_Date]],"mmmm")</f>
        <v>November</v>
      </c>
      <c r="I335">
        <f>YEAR(Orders[[#This Row],[Order_Date]])</f>
        <v>2024</v>
      </c>
      <c r="J335" t="str">
        <f>"Q"&amp;ROUNDUP(MONTH(Orders[[#This Row],[Order_Date]])/3,0)</f>
        <v>Q4</v>
      </c>
      <c r="K335" s="2">
        <f>(Orders[[#This Row],[Profit]]/Orders[[#This Row],[Sales]])*100</f>
        <v>22.537096388423823</v>
      </c>
    </row>
    <row r="336" spans="1:11" x14ac:dyDescent="0.3">
      <c r="A336" t="s">
        <v>580</v>
      </c>
      <c r="B336" s="1">
        <v>45376</v>
      </c>
      <c r="C336" t="s">
        <v>194</v>
      </c>
      <c r="D336" t="s">
        <v>245</v>
      </c>
      <c r="E336">
        <v>4</v>
      </c>
      <c r="F336">
        <v>96944</v>
      </c>
      <c r="G336">
        <v>17705.16</v>
      </c>
      <c r="H336" t="str">
        <f>TEXT(Orders[[#This Row],[Order_Date]],"mmmm")</f>
        <v>March</v>
      </c>
      <c r="I336">
        <f>YEAR(Orders[[#This Row],[Order_Date]])</f>
        <v>2024</v>
      </c>
      <c r="J336" t="str">
        <f>"Q"&amp;ROUNDUP(MONTH(Orders[[#This Row],[Order_Date]])/3,0)</f>
        <v>Q1</v>
      </c>
      <c r="K336" s="2">
        <f>(Orders[[#This Row],[Profit]]/Orders[[#This Row],[Sales]])*100</f>
        <v>18.263286020795512</v>
      </c>
    </row>
    <row r="337" spans="1:11" x14ac:dyDescent="0.3">
      <c r="A337" t="s">
        <v>581</v>
      </c>
      <c r="B337" s="1">
        <v>45494</v>
      </c>
      <c r="C337" t="s">
        <v>88</v>
      </c>
      <c r="D337" t="s">
        <v>255</v>
      </c>
      <c r="E337">
        <v>3</v>
      </c>
      <c r="F337">
        <v>76824</v>
      </c>
      <c r="G337">
        <v>13504.58</v>
      </c>
      <c r="H337" t="str">
        <f>TEXT(Orders[[#This Row],[Order_Date]],"mmmm")</f>
        <v>July</v>
      </c>
      <c r="I337">
        <f>YEAR(Orders[[#This Row],[Order_Date]])</f>
        <v>2024</v>
      </c>
      <c r="J337" t="str">
        <f>"Q"&amp;ROUNDUP(MONTH(Orders[[#This Row],[Order_Date]])/3,0)</f>
        <v>Q3</v>
      </c>
      <c r="K337" s="2">
        <f>(Orders[[#This Row],[Profit]]/Orders[[#This Row],[Sales]])*100</f>
        <v>17.578595230657086</v>
      </c>
    </row>
    <row r="338" spans="1:11" x14ac:dyDescent="0.3">
      <c r="A338" t="s">
        <v>582</v>
      </c>
      <c r="B338" s="1">
        <v>45299</v>
      </c>
      <c r="C338" t="s">
        <v>174</v>
      </c>
      <c r="D338" t="s">
        <v>241</v>
      </c>
      <c r="E338">
        <v>3</v>
      </c>
      <c r="F338">
        <v>25086</v>
      </c>
      <c r="G338">
        <v>3096</v>
      </c>
      <c r="H338" t="str">
        <f>TEXT(Orders[[#This Row],[Order_Date]],"mmmm")</f>
        <v>January</v>
      </c>
      <c r="I338">
        <f>YEAR(Orders[[#This Row],[Order_Date]])</f>
        <v>2024</v>
      </c>
      <c r="J338" t="str">
        <f>"Q"&amp;ROUNDUP(MONTH(Orders[[#This Row],[Order_Date]])/3,0)</f>
        <v>Q1</v>
      </c>
      <c r="K338" s="2">
        <f>(Orders[[#This Row],[Profit]]/Orders[[#This Row],[Sales]])*100</f>
        <v>12.341545084907917</v>
      </c>
    </row>
    <row r="339" spans="1:11" x14ac:dyDescent="0.3">
      <c r="A339" t="s">
        <v>583</v>
      </c>
      <c r="B339" s="1">
        <v>45474</v>
      </c>
      <c r="C339" t="s">
        <v>174</v>
      </c>
      <c r="D339" t="s">
        <v>247</v>
      </c>
      <c r="E339">
        <v>4</v>
      </c>
      <c r="F339">
        <v>44624</v>
      </c>
      <c r="G339">
        <v>7040.83</v>
      </c>
      <c r="H339" t="str">
        <f>TEXT(Orders[[#This Row],[Order_Date]],"mmmm")</f>
        <v>July</v>
      </c>
      <c r="I339">
        <f>YEAR(Orders[[#This Row],[Order_Date]])</f>
        <v>2024</v>
      </c>
      <c r="J339" t="str">
        <f>"Q"&amp;ROUNDUP(MONTH(Orders[[#This Row],[Order_Date]])/3,0)</f>
        <v>Q3</v>
      </c>
      <c r="K339" s="2">
        <f>(Orders[[#This Row],[Profit]]/Orders[[#This Row],[Sales]])*100</f>
        <v>15.778123879526712</v>
      </c>
    </row>
    <row r="340" spans="1:11" x14ac:dyDescent="0.3">
      <c r="A340" t="s">
        <v>584</v>
      </c>
      <c r="B340" s="1">
        <v>45535</v>
      </c>
      <c r="C340" t="s">
        <v>78</v>
      </c>
      <c r="D340" t="s">
        <v>255</v>
      </c>
      <c r="E340">
        <v>4</v>
      </c>
      <c r="F340">
        <v>102432</v>
      </c>
      <c r="G340">
        <v>11836.54</v>
      </c>
      <c r="H340" t="str">
        <f>TEXT(Orders[[#This Row],[Order_Date]],"mmmm")</f>
        <v>August</v>
      </c>
      <c r="I340">
        <f>YEAR(Orders[[#This Row],[Order_Date]])</f>
        <v>2024</v>
      </c>
      <c r="J340" t="str">
        <f>"Q"&amp;ROUNDUP(MONTH(Orders[[#This Row],[Order_Date]])/3,0)</f>
        <v>Q3</v>
      </c>
      <c r="K340" s="2">
        <f>(Orders[[#This Row],[Profit]]/Orders[[#This Row],[Sales]])*100</f>
        <v>11.555509996875978</v>
      </c>
    </row>
    <row r="341" spans="1:11" x14ac:dyDescent="0.3">
      <c r="A341" t="s">
        <v>585</v>
      </c>
      <c r="B341" s="1">
        <v>45319</v>
      </c>
      <c r="C341" t="s">
        <v>104</v>
      </c>
      <c r="D341" t="s">
        <v>260</v>
      </c>
      <c r="E341">
        <v>4</v>
      </c>
      <c r="F341">
        <v>223800</v>
      </c>
      <c r="G341">
        <v>50712.22</v>
      </c>
      <c r="H341" t="str">
        <f>TEXT(Orders[[#This Row],[Order_Date]],"mmmm")</f>
        <v>January</v>
      </c>
      <c r="I341">
        <f>YEAR(Orders[[#This Row],[Order_Date]])</f>
        <v>2024</v>
      </c>
      <c r="J341" t="str">
        <f>"Q"&amp;ROUNDUP(MONTH(Orders[[#This Row],[Order_Date]])/3,0)</f>
        <v>Q1</v>
      </c>
      <c r="K341" s="2">
        <f>(Orders[[#This Row],[Profit]]/Orders[[#This Row],[Sales]])*100</f>
        <v>22.659615728328866</v>
      </c>
    </row>
    <row r="342" spans="1:11" x14ac:dyDescent="0.3">
      <c r="A342" t="s">
        <v>586</v>
      </c>
      <c r="B342" s="1">
        <v>45296</v>
      </c>
      <c r="C342" t="s">
        <v>184</v>
      </c>
      <c r="D342" t="s">
        <v>239</v>
      </c>
      <c r="E342">
        <v>3</v>
      </c>
      <c r="F342">
        <v>75477</v>
      </c>
      <c r="G342">
        <v>17220.849999999999</v>
      </c>
      <c r="H342" t="str">
        <f>TEXT(Orders[[#This Row],[Order_Date]],"mmmm")</f>
        <v>January</v>
      </c>
      <c r="I342">
        <f>YEAR(Orders[[#This Row],[Order_Date]])</f>
        <v>2024</v>
      </c>
      <c r="J342" t="str">
        <f>"Q"&amp;ROUNDUP(MONTH(Orders[[#This Row],[Order_Date]])/3,0)</f>
        <v>Q1</v>
      </c>
      <c r="K342" s="2">
        <f>(Orders[[#This Row],[Profit]]/Orders[[#This Row],[Sales]])*100</f>
        <v>22.816023424354437</v>
      </c>
    </row>
    <row r="343" spans="1:11" x14ac:dyDescent="0.3">
      <c r="A343" t="s">
        <v>587</v>
      </c>
      <c r="B343" s="1">
        <v>45299</v>
      </c>
      <c r="C343" t="s">
        <v>84</v>
      </c>
      <c r="D343" t="s">
        <v>241</v>
      </c>
      <c r="E343">
        <v>1</v>
      </c>
      <c r="F343">
        <v>8362</v>
      </c>
      <c r="G343">
        <v>1104.58</v>
      </c>
      <c r="H343" t="str">
        <f>TEXT(Orders[[#This Row],[Order_Date]],"mmmm")</f>
        <v>January</v>
      </c>
      <c r="I343">
        <f>YEAR(Orders[[#This Row],[Order_Date]])</f>
        <v>2024</v>
      </c>
      <c r="J343" t="str">
        <f>"Q"&amp;ROUNDUP(MONTH(Orders[[#This Row],[Order_Date]])/3,0)</f>
        <v>Q1</v>
      </c>
      <c r="K343" s="2">
        <f>(Orders[[#This Row],[Profit]]/Orders[[#This Row],[Sales]])*100</f>
        <v>13.209519253767041</v>
      </c>
    </row>
    <row r="344" spans="1:11" x14ac:dyDescent="0.3">
      <c r="A344" t="s">
        <v>588</v>
      </c>
      <c r="B344" s="1">
        <v>45317</v>
      </c>
      <c r="C344" t="s">
        <v>102</v>
      </c>
      <c r="D344" t="s">
        <v>233</v>
      </c>
      <c r="E344">
        <v>3</v>
      </c>
      <c r="F344">
        <v>167085</v>
      </c>
      <c r="G344">
        <v>30102.3</v>
      </c>
      <c r="H344" t="str">
        <f>TEXT(Orders[[#This Row],[Order_Date]],"mmmm")</f>
        <v>January</v>
      </c>
      <c r="I344">
        <f>YEAR(Orders[[#This Row],[Order_Date]])</f>
        <v>2024</v>
      </c>
      <c r="J344" t="str">
        <f>"Q"&amp;ROUNDUP(MONTH(Orders[[#This Row],[Order_Date]])/3,0)</f>
        <v>Q1</v>
      </c>
      <c r="K344" s="2">
        <f>(Orders[[#This Row],[Profit]]/Orders[[#This Row],[Sales]])*100</f>
        <v>18.016159439806088</v>
      </c>
    </row>
    <row r="345" spans="1:11" x14ac:dyDescent="0.3">
      <c r="A345" t="s">
        <v>589</v>
      </c>
      <c r="B345" s="1">
        <v>45622</v>
      </c>
      <c r="C345" t="s">
        <v>72</v>
      </c>
      <c r="D345" t="s">
        <v>237</v>
      </c>
      <c r="E345">
        <v>3</v>
      </c>
      <c r="F345">
        <v>25878</v>
      </c>
      <c r="G345">
        <v>2597.65</v>
      </c>
      <c r="H345" t="str">
        <f>TEXT(Orders[[#This Row],[Order_Date]],"mmmm")</f>
        <v>November</v>
      </c>
      <c r="I345">
        <f>YEAR(Orders[[#This Row],[Order_Date]])</f>
        <v>2024</v>
      </c>
      <c r="J345" t="str">
        <f>"Q"&amp;ROUNDUP(MONTH(Orders[[#This Row],[Order_Date]])/3,0)</f>
        <v>Q4</v>
      </c>
      <c r="K345" s="2">
        <f>(Orders[[#This Row],[Profit]]/Orders[[#This Row],[Sales]])*100</f>
        <v>10.038063219723318</v>
      </c>
    </row>
    <row r="346" spans="1:11" x14ac:dyDescent="0.3">
      <c r="A346" t="s">
        <v>590</v>
      </c>
      <c r="B346" s="1">
        <v>45603</v>
      </c>
      <c r="C346" t="s">
        <v>33</v>
      </c>
      <c r="D346" t="s">
        <v>260</v>
      </c>
      <c r="E346">
        <v>3</v>
      </c>
      <c r="F346">
        <v>167850</v>
      </c>
      <c r="G346">
        <v>40806.22</v>
      </c>
      <c r="H346" t="str">
        <f>TEXT(Orders[[#This Row],[Order_Date]],"mmmm")</f>
        <v>November</v>
      </c>
      <c r="I346">
        <f>YEAR(Orders[[#This Row],[Order_Date]])</f>
        <v>2024</v>
      </c>
      <c r="J346" t="str">
        <f>"Q"&amp;ROUNDUP(MONTH(Orders[[#This Row],[Order_Date]])/3,0)</f>
        <v>Q4</v>
      </c>
      <c r="K346" s="2">
        <f>(Orders[[#This Row],[Profit]]/Orders[[#This Row],[Sales]])*100</f>
        <v>24.311123026511765</v>
      </c>
    </row>
    <row r="347" spans="1:11" x14ac:dyDescent="0.3">
      <c r="A347" t="s">
        <v>591</v>
      </c>
      <c r="B347" s="1">
        <v>45650</v>
      </c>
      <c r="C347" t="s">
        <v>106</v>
      </c>
      <c r="D347" t="s">
        <v>227</v>
      </c>
      <c r="E347">
        <v>1</v>
      </c>
      <c r="F347">
        <v>9394</v>
      </c>
      <c r="G347">
        <v>2288.44</v>
      </c>
      <c r="H347" t="str">
        <f>TEXT(Orders[[#This Row],[Order_Date]],"mmmm")</f>
        <v>December</v>
      </c>
      <c r="I347">
        <f>YEAR(Orders[[#This Row],[Order_Date]])</f>
        <v>2024</v>
      </c>
      <c r="J347" t="str">
        <f>"Q"&amp;ROUNDUP(MONTH(Orders[[#This Row],[Order_Date]])/3,0)</f>
        <v>Q4</v>
      </c>
      <c r="K347" s="2">
        <f>(Orders[[#This Row],[Profit]]/Orders[[#This Row],[Sales]])*100</f>
        <v>24.360655737704921</v>
      </c>
    </row>
    <row r="348" spans="1:11" x14ac:dyDescent="0.3">
      <c r="A348" t="s">
        <v>592</v>
      </c>
      <c r="B348" s="1">
        <v>45620</v>
      </c>
      <c r="C348" t="s">
        <v>196</v>
      </c>
      <c r="D348" t="s">
        <v>257</v>
      </c>
      <c r="E348">
        <v>5</v>
      </c>
      <c r="F348">
        <v>33735</v>
      </c>
      <c r="G348">
        <v>6999.1</v>
      </c>
      <c r="H348" t="str">
        <f>TEXT(Orders[[#This Row],[Order_Date]],"mmmm")</f>
        <v>November</v>
      </c>
      <c r="I348">
        <f>YEAR(Orders[[#This Row],[Order_Date]])</f>
        <v>2024</v>
      </c>
      <c r="J348" t="str">
        <f>"Q"&amp;ROUNDUP(MONTH(Orders[[#This Row],[Order_Date]])/3,0)</f>
        <v>Q4</v>
      </c>
      <c r="K348" s="2">
        <f>(Orders[[#This Row],[Profit]]/Orders[[#This Row],[Sales]])*100</f>
        <v>20.747295094115906</v>
      </c>
    </row>
    <row r="349" spans="1:11" x14ac:dyDescent="0.3">
      <c r="A349" t="s">
        <v>593</v>
      </c>
      <c r="B349" s="1">
        <v>45561</v>
      </c>
      <c r="C349" t="s">
        <v>112</v>
      </c>
      <c r="D349" t="s">
        <v>279</v>
      </c>
      <c r="E349">
        <v>3</v>
      </c>
      <c r="F349">
        <v>18660</v>
      </c>
      <c r="G349">
        <v>2691.94</v>
      </c>
      <c r="H349" t="str">
        <f>TEXT(Orders[[#This Row],[Order_Date]],"mmmm")</f>
        <v>September</v>
      </c>
      <c r="I349">
        <f>YEAR(Orders[[#This Row],[Order_Date]])</f>
        <v>2024</v>
      </c>
      <c r="J349" t="str">
        <f>"Q"&amp;ROUNDUP(MONTH(Orders[[#This Row],[Order_Date]])/3,0)</f>
        <v>Q3</v>
      </c>
      <c r="K349" s="2">
        <f>(Orders[[#This Row],[Profit]]/Orders[[#This Row],[Sales]])*100</f>
        <v>14.42625937834941</v>
      </c>
    </row>
    <row r="350" spans="1:11" x14ac:dyDescent="0.3">
      <c r="A350" t="s">
        <v>594</v>
      </c>
      <c r="B350" s="1">
        <v>45410</v>
      </c>
      <c r="C350" t="s">
        <v>138</v>
      </c>
      <c r="D350" t="s">
        <v>237</v>
      </c>
      <c r="E350">
        <v>2</v>
      </c>
      <c r="F350">
        <v>17252</v>
      </c>
      <c r="G350">
        <v>2575.91</v>
      </c>
      <c r="H350" t="str">
        <f>TEXT(Orders[[#This Row],[Order_Date]],"mmmm")</f>
        <v>April</v>
      </c>
      <c r="I350">
        <f>YEAR(Orders[[#This Row],[Order_Date]])</f>
        <v>2024</v>
      </c>
      <c r="J350" t="str">
        <f>"Q"&amp;ROUNDUP(MONTH(Orders[[#This Row],[Order_Date]])/3,0)</f>
        <v>Q2</v>
      </c>
      <c r="K350" s="2">
        <f>(Orders[[#This Row],[Profit]]/Orders[[#This Row],[Sales]])*100</f>
        <v>14.931080454440062</v>
      </c>
    </row>
    <row r="351" spans="1:11" x14ac:dyDescent="0.3">
      <c r="A351" t="s">
        <v>595</v>
      </c>
      <c r="B351" s="1">
        <v>45406</v>
      </c>
      <c r="C351" t="s">
        <v>174</v>
      </c>
      <c r="D351" t="s">
        <v>247</v>
      </c>
      <c r="E351">
        <v>5</v>
      </c>
      <c r="F351">
        <v>55780</v>
      </c>
      <c r="G351">
        <v>6745.42</v>
      </c>
      <c r="H351" t="str">
        <f>TEXT(Orders[[#This Row],[Order_Date]],"mmmm")</f>
        <v>April</v>
      </c>
      <c r="I351">
        <f>YEAR(Orders[[#This Row],[Order_Date]])</f>
        <v>2024</v>
      </c>
      <c r="J351" t="str">
        <f>"Q"&amp;ROUNDUP(MONTH(Orders[[#This Row],[Order_Date]])/3,0)</f>
        <v>Q2</v>
      </c>
      <c r="K351" s="2">
        <f>(Orders[[#This Row],[Profit]]/Orders[[#This Row],[Sales]])*100</f>
        <v>12.092900681247759</v>
      </c>
    </row>
    <row r="352" spans="1:11" x14ac:dyDescent="0.3">
      <c r="A352" t="s">
        <v>596</v>
      </c>
      <c r="B352" s="1">
        <v>45369</v>
      </c>
      <c r="C352" t="s">
        <v>82</v>
      </c>
      <c r="D352" t="s">
        <v>229</v>
      </c>
      <c r="E352">
        <v>4</v>
      </c>
      <c r="F352">
        <v>35492</v>
      </c>
      <c r="G352">
        <v>4107.32</v>
      </c>
      <c r="H352" t="str">
        <f>TEXT(Orders[[#This Row],[Order_Date]],"mmmm")</f>
        <v>March</v>
      </c>
      <c r="I352">
        <f>YEAR(Orders[[#This Row],[Order_Date]])</f>
        <v>2024</v>
      </c>
      <c r="J352" t="str">
        <f>"Q"&amp;ROUNDUP(MONTH(Orders[[#This Row],[Order_Date]])/3,0)</f>
        <v>Q1</v>
      </c>
      <c r="K352" s="2">
        <f>(Orders[[#This Row],[Profit]]/Orders[[#This Row],[Sales]])*100</f>
        <v>11.572523385551673</v>
      </c>
    </row>
    <row r="353" spans="1:11" x14ac:dyDescent="0.3">
      <c r="A353" t="s">
        <v>597</v>
      </c>
      <c r="B353" s="1">
        <v>45652</v>
      </c>
      <c r="C353" t="s">
        <v>204</v>
      </c>
      <c r="D353" t="s">
        <v>279</v>
      </c>
      <c r="E353">
        <v>3</v>
      </c>
      <c r="F353">
        <v>18660</v>
      </c>
      <c r="G353">
        <v>1497.44</v>
      </c>
      <c r="H353" t="str">
        <f>TEXT(Orders[[#This Row],[Order_Date]],"mmmm")</f>
        <v>December</v>
      </c>
      <c r="I353">
        <f>YEAR(Orders[[#This Row],[Order_Date]])</f>
        <v>2024</v>
      </c>
      <c r="J353" t="str">
        <f>"Q"&amp;ROUNDUP(MONTH(Orders[[#This Row],[Order_Date]])/3,0)</f>
        <v>Q4</v>
      </c>
      <c r="K353" s="2">
        <f>(Orders[[#This Row],[Profit]]/Orders[[#This Row],[Sales]])*100</f>
        <v>8.0248660235798503</v>
      </c>
    </row>
    <row r="354" spans="1:11" x14ac:dyDescent="0.3">
      <c r="A354" t="s">
        <v>598</v>
      </c>
      <c r="B354" s="1">
        <v>45637</v>
      </c>
      <c r="C354" t="s">
        <v>194</v>
      </c>
      <c r="D354" t="s">
        <v>279</v>
      </c>
      <c r="E354">
        <v>4</v>
      </c>
      <c r="F354">
        <v>24880</v>
      </c>
      <c r="G354">
        <v>4096.3599999999997</v>
      </c>
      <c r="H354" t="str">
        <f>TEXT(Orders[[#This Row],[Order_Date]],"mmmm")</f>
        <v>December</v>
      </c>
      <c r="I354">
        <f>YEAR(Orders[[#This Row],[Order_Date]])</f>
        <v>2024</v>
      </c>
      <c r="J354" t="str">
        <f>"Q"&amp;ROUNDUP(MONTH(Orders[[#This Row],[Order_Date]])/3,0)</f>
        <v>Q4</v>
      </c>
      <c r="K354" s="2">
        <f>(Orders[[#This Row],[Profit]]/Orders[[#This Row],[Sales]])*100</f>
        <v>16.464469453376203</v>
      </c>
    </row>
    <row r="355" spans="1:11" x14ac:dyDescent="0.3">
      <c r="A355" t="s">
        <v>599</v>
      </c>
      <c r="B355" s="1">
        <v>45467</v>
      </c>
      <c r="C355" t="s">
        <v>56</v>
      </c>
      <c r="D355" t="s">
        <v>344</v>
      </c>
      <c r="E355">
        <v>3</v>
      </c>
      <c r="F355">
        <v>27303</v>
      </c>
      <c r="G355">
        <v>4212.54</v>
      </c>
      <c r="H355" t="str">
        <f>TEXT(Orders[[#This Row],[Order_Date]],"mmmm")</f>
        <v>June</v>
      </c>
      <c r="I355">
        <f>YEAR(Orders[[#This Row],[Order_Date]])</f>
        <v>2024</v>
      </c>
      <c r="J355" t="str">
        <f>"Q"&amp;ROUNDUP(MONTH(Orders[[#This Row],[Order_Date]])/3,0)</f>
        <v>Q2</v>
      </c>
      <c r="K355" s="2">
        <f>(Orders[[#This Row],[Profit]]/Orders[[#This Row],[Sales]])*100</f>
        <v>15.428853972090979</v>
      </c>
    </row>
    <row r="356" spans="1:11" x14ac:dyDescent="0.3">
      <c r="A356" t="s">
        <v>600</v>
      </c>
      <c r="B356" s="1">
        <v>45349</v>
      </c>
      <c r="C356" t="s">
        <v>150</v>
      </c>
      <c r="D356" t="s">
        <v>316</v>
      </c>
      <c r="E356">
        <v>3</v>
      </c>
      <c r="F356">
        <v>163152</v>
      </c>
      <c r="G356">
        <v>39097.660000000003</v>
      </c>
      <c r="H356" t="str">
        <f>TEXT(Orders[[#This Row],[Order_Date]],"mmmm")</f>
        <v>February</v>
      </c>
      <c r="I356">
        <f>YEAR(Orders[[#This Row],[Order_Date]])</f>
        <v>2024</v>
      </c>
      <c r="J356" t="str">
        <f>"Q"&amp;ROUNDUP(MONTH(Orders[[#This Row],[Order_Date]])/3,0)</f>
        <v>Q1</v>
      </c>
      <c r="K356" s="2">
        <f>(Orders[[#This Row],[Profit]]/Orders[[#This Row],[Sales]])*100</f>
        <v>23.963947729724431</v>
      </c>
    </row>
    <row r="357" spans="1:11" x14ac:dyDescent="0.3">
      <c r="A357" t="s">
        <v>601</v>
      </c>
      <c r="B357" s="1">
        <v>45511</v>
      </c>
      <c r="C357" t="s">
        <v>168</v>
      </c>
      <c r="D357" t="s">
        <v>279</v>
      </c>
      <c r="E357">
        <v>5</v>
      </c>
      <c r="F357">
        <v>31100</v>
      </c>
      <c r="G357">
        <v>5991.54</v>
      </c>
      <c r="H357" t="str">
        <f>TEXT(Orders[[#This Row],[Order_Date]],"mmmm")</f>
        <v>August</v>
      </c>
      <c r="I357">
        <f>YEAR(Orders[[#This Row],[Order_Date]])</f>
        <v>2024</v>
      </c>
      <c r="J357" t="str">
        <f>"Q"&amp;ROUNDUP(MONTH(Orders[[#This Row],[Order_Date]])/3,0)</f>
        <v>Q3</v>
      </c>
      <c r="K357" s="2">
        <f>(Orders[[#This Row],[Profit]]/Orders[[#This Row],[Sales]])*100</f>
        <v>19.265401929260449</v>
      </c>
    </row>
    <row r="358" spans="1:11" x14ac:dyDescent="0.3">
      <c r="A358" t="s">
        <v>602</v>
      </c>
      <c r="B358" s="1">
        <v>45350</v>
      </c>
      <c r="C358" t="s">
        <v>13</v>
      </c>
      <c r="D358" t="s">
        <v>279</v>
      </c>
      <c r="E358">
        <v>1</v>
      </c>
      <c r="F358">
        <v>6220</v>
      </c>
      <c r="G358">
        <v>1172.96</v>
      </c>
      <c r="H358" t="str">
        <f>TEXT(Orders[[#This Row],[Order_Date]],"mmmm")</f>
        <v>February</v>
      </c>
      <c r="I358">
        <f>YEAR(Orders[[#This Row],[Order_Date]])</f>
        <v>2024</v>
      </c>
      <c r="J358" t="str">
        <f>"Q"&amp;ROUNDUP(MONTH(Orders[[#This Row],[Order_Date]])/3,0)</f>
        <v>Q1</v>
      </c>
      <c r="K358" s="2">
        <f>(Orders[[#This Row],[Profit]]/Orders[[#This Row],[Sales]])*100</f>
        <v>18.857877813504821</v>
      </c>
    </row>
    <row r="359" spans="1:11" x14ac:dyDescent="0.3">
      <c r="A359" t="s">
        <v>603</v>
      </c>
      <c r="B359" s="1">
        <v>45427</v>
      </c>
      <c r="C359" t="s">
        <v>148</v>
      </c>
      <c r="D359" t="s">
        <v>227</v>
      </c>
      <c r="E359">
        <v>5</v>
      </c>
      <c r="F359">
        <v>46970</v>
      </c>
      <c r="G359">
        <v>9729.56</v>
      </c>
      <c r="H359" t="str">
        <f>TEXT(Orders[[#This Row],[Order_Date]],"mmmm")</f>
        <v>May</v>
      </c>
      <c r="I359">
        <f>YEAR(Orders[[#This Row],[Order_Date]])</f>
        <v>2024</v>
      </c>
      <c r="J359" t="str">
        <f>"Q"&amp;ROUNDUP(MONTH(Orders[[#This Row],[Order_Date]])/3,0)</f>
        <v>Q2</v>
      </c>
      <c r="K359" s="2">
        <f>(Orders[[#This Row],[Profit]]/Orders[[#This Row],[Sales]])*100</f>
        <v>20.714413455397061</v>
      </c>
    </row>
    <row r="360" spans="1:11" x14ac:dyDescent="0.3">
      <c r="A360" t="s">
        <v>604</v>
      </c>
      <c r="B360" s="1">
        <v>45597</v>
      </c>
      <c r="C360" t="s">
        <v>130</v>
      </c>
      <c r="D360" t="s">
        <v>253</v>
      </c>
      <c r="E360">
        <v>2</v>
      </c>
      <c r="F360">
        <v>12050</v>
      </c>
      <c r="G360">
        <v>1075.05</v>
      </c>
      <c r="H360" t="str">
        <f>TEXT(Orders[[#This Row],[Order_Date]],"mmmm")</f>
        <v>November</v>
      </c>
      <c r="I360">
        <f>YEAR(Orders[[#This Row],[Order_Date]])</f>
        <v>2024</v>
      </c>
      <c r="J360" t="str">
        <f>"Q"&amp;ROUNDUP(MONTH(Orders[[#This Row],[Order_Date]])/3,0)</f>
        <v>Q4</v>
      </c>
      <c r="K360" s="2">
        <f>(Orders[[#This Row],[Profit]]/Orders[[#This Row],[Sales]])*100</f>
        <v>8.9215767634854775</v>
      </c>
    </row>
    <row r="361" spans="1:11" x14ac:dyDescent="0.3">
      <c r="A361" t="s">
        <v>605</v>
      </c>
      <c r="B361" s="1">
        <v>45441</v>
      </c>
      <c r="C361" t="s">
        <v>150</v>
      </c>
      <c r="D361" t="s">
        <v>255</v>
      </c>
      <c r="E361">
        <v>5</v>
      </c>
      <c r="F361">
        <v>128040</v>
      </c>
      <c r="G361">
        <v>13792.58</v>
      </c>
      <c r="H361" t="str">
        <f>TEXT(Orders[[#This Row],[Order_Date]],"mmmm")</f>
        <v>May</v>
      </c>
      <c r="I361">
        <f>YEAR(Orders[[#This Row],[Order_Date]])</f>
        <v>2024</v>
      </c>
      <c r="J361" t="str">
        <f>"Q"&amp;ROUNDUP(MONTH(Orders[[#This Row],[Order_Date]])/3,0)</f>
        <v>Q2</v>
      </c>
      <c r="K361" s="2">
        <f>(Orders[[#This Row],[Profit]]/Orders[[#This Row],[Sales]])*100</f>
        <v>10.772086847860043</v>
      </c>
    </row>
    <row r="362" spans="1:11" x14ac:dyDescent="0.3">
      <c r="A362" t="s">
        <v>606</v>
      </c>
      <c r="B362" s="1">
        <v>45323</v>
      </c>
      <c r="C362" t="s">
        <v>29</v>
      </c>
      <c r="D362" t="s">
        <v>237</v>
      </c>
      <c r="E362">
        <v>2</v>
      </c>
      <c r="F362">
        <v>17252</v>
      </c>
      <c r="G362">
        <v>1389.46</v>
      </c>
      <c r="H362" t="str">
        <f>TEXT(Orders[[#This Row],[Order_Date]],"mmmm")</f>
        <v>February</v>
      </c>
      <c r="I362">
        <f>YEAR(Orders[[#This Row],[Order_Date]])</f>
        <v>2024</v>
      </c>
      <c r="J362" t="str">
        <f>"Q"&amp;ROUNDUP(MONTH(Orders[[#This Row],[Order_Date]])/3,0)</f>
        <v>Q1</v>
      </c>
      <c r="K362" s="2">
        <f>(Orders[[#This Row],[Profit]]/Orders[[#This Row],[Sales]])*100</f>
        <v>8.0539067934152566</v>
      </c>
    </row>
    <row r="363" spans="1:11" x14ac:dyDescent="0.3">
      <c r="A363" t="s">
        <v>607</v>
      </c>
      <c r="B363" s="1">
        <v>45309</v>
      </c>
      <c r="C363" t="s">
        <v>128</v>
      </c>
      <c r="D363" t="s">
        <v>344</v>
      </c>
      <c r="E363">
        <v>1</v>
      </c>
      <c r="F363">
        <v>9101</v>
      </c>
      <c r="G363">
        <v>813.2</v>
      </c>
      <c r="H363" t="str">
        <f>TEXT(Orders[[#This Row],[Order_Date]],"mmmm")</f>
        <v>January</v>
      </c>
      <c r="I363">
        <f>YEAR(Orders[[#This Row],[Order_Date]])</f>
        <v>2024</v>
      </c>
      <c r="J363" t="str">
        <f>"Q"&amp;ROUNDUP(MONTH(Orders[[#This Row],[Order_Date]])/3,0)</f>
        <v>Q1</v>
      </c>
      <c r="K363" s="2">
        <f>(Orders[[#This Row],[Profit]]/Orders[[#This Row],[Sales]])*100</f>
        <v>8.935281837160753</v>
      </c>
    </row>
    <row r="364" spans="1:11" x14ac:dyDescent="0.3">
      <c r="A364" t="s">
        <v>608</v>
      </c>
      <c r="B364" s="1">
        <v>45605</v>
      </c>
      <c r="C364" t="s">
        <v>156</v>
      </c>
      <c r="D364" t="s">
        <v>233</v>
      </c>
      <c r="E364">
        <v>3</v>
      </c>
      <c r="F364">
        <v>167085</v>
      </c>
      <c r="G364">
        <v>35668.53</v>
      </c>
      <c r="H364" t="str">
        <f>TEXT(Orders[[#This Row],[Order_Date]],"mmmm")</f>
        <v>November</v>
      </c>
      <c r="I364">
        <f>YEAR(Orders[[#This Row],[Order_Date]])</f>
        <v>2024</v>
      </c>
      <c r="J364" t="str">
        <f>"Q"&amp;ROUNDUP(MONTH(Orders[[#This Row],[Order_Date]])/3,0)</f>
        <v>Q4</v>
      </c>
      <c r="K364" s="2">
        <f>(Orders[[#This Row],[Profit]]/Orders[[#This Row],[Sales]])*100</f>
        <v>21.347535685429573</v>
      </c>
    </row>
    <row r="365" spans="1:11" x14ac:dyDescent="0.3">
      <c r="A365" t="s">
        <v>609</v>
      </c>
      <c r="B365" s="1">
        <v>45428</v>
      </c>
      <c r="C365" t="s">
        <v>13</v>
      </c>
      <c r="D365" t="s">
        <v>241</v>
      </c>
      <c r="E365">
        <v>2</v>
      </c>
      <c r="F365">
        <v>16724</v>
      </c>
      <c r="G365">
        <v>2671.21</v>
      </c>
      <c r="H365" t="str">
        <f>TEXT(Orders[[#This Row],[Order_Date]],"mmmm")</f>
        <v>May</v>
      </c>
      <c r="I365">
        <f>YEAR(Orders[[#This Row],[Order_Date]])</f>
        <v>2024</v>
      </c>
      <c r="J365" t="str">
        <f>"Q"&amp;ROUNDUP(MONTH(Orders[[#This Row],[Order_Date]])/3,0)</f>
        <v>Q2</v>
      </c>
      <c r="K365" s="2">
        <f>(Orders[[#This Row],[Profit]]/Orders[[#This Row],[Sales]])*100</f>
        <v>15.972315235589571</v>
      </c>
    </row>
    <row r="366" spans="1:11" x14ac:dyDescent="0.3">
      <c r="A366" t="s">
        <v>610</v>
      </c>
      <c r="B366" s="1">
        <v>45411</v>
      </c>
      <c r="C366" t="s">
        <v>94</v>
      </c>
      <c r="D366" t="s">
        <v>245</v>
      </c>
      <c r="E366">
        <v>5</v>
      </c>
      <c r="F366">
        <v>121180</v>
      </c>
      <c r="G366">
        <v>20437.95</v>
      </c>
      <c r="H366" t="str">
        <f>TEXT(Orders[[#This Row],[Order_Date]],"mmmm")</f>
        <v>April</v>
      </c>
      <c r="I366">
        <f>YEAR(Orders[[#This Row],[Order_Date]])</f>
        <v>2024</v>
      </c>
      <c r="J366" t="str">
        <f>"Q"&amp;ROUNDUP(MONTH(Orders[[#This Row],[Order_Date]])/3,0)</f>
        <v>Q2</v>
      </c>
      <c r="K366" s="2">
        <f>(Orders[[#This Row],[Profit]]/Orders[[#This Row],[Sales]])*100</f>
        <v>16.865778181218026</v>
      </c>
    </row>
    <row r="367" spans="1:11" x14ac:dyDescent="0.3">
      <c r="A367" t="s">
        <v>611</v>
      </c>
      <c r="B367" s="1">
        <v>45414</v>
      </c>
      <c r="C367" t="s">
        <v>66</v>
      </c>
      <c r="D367" t="s">
        <v>263</v>
      </c>
      <c r="E367">
        <v>4</v>
      </c>
      <c r="F367">
        <v>28620</v>
      </c>
      <c r="G367">
        <v>6605.21</v>
      </c>
      <c r="H367" t="str">
        <f>TEXT(Orders[[#This Row],[Order_Date]],"mmmm")</f>
        <v>May</v>
      </c>
      <c r="I367">
        <f>YEAR(Orders[[#This Row],[Order_Date]])</f>
        <v>2024</v>
      </c>
      <c r="J367" t="str">
        <f>"Q"&amp;ROUNDUP(MONTH(Orders[[#This Row],[Order_Date]])/3,0)</f>
        <v>Q2</v>
      </c>
      <c r="K367" s="2">
        <f>(Orders[[#This Row],[Profit]]/Orders[[#This Row],[Sales]])*100</f>
        <v>23.07900069881202</v>
      </c>
    </row>
    <row r="368" spans="1:11" x14ac:dyDescent="0.3">
      <c r="A368" t="s">
        <v>612</v>
      </c>
      <c r="B368" s="1">
        <v>45500</v>
      </c>
      <c r="C368" t="s">
        <v>162</v>
      </c>
      <c r="D368" t="s">
        <v>266</v>
      </c>
      <c r="E368">
        <v>1</v>
      </c>
      <c r="F368">
        <v>11235</v>
      </c>
      <c r="G368">
        <v>1531.77</v>
      </c>
      <c r="H368" t="str">
        <f>TEXT(Orders[[#This Row],[Order_Date]],"mmmm")</f>
        <v>July</v>
      </c>
      <c r="I368">
        <f>YEAR(Orders[[#This Row],[Order_Date]])</f>
        <v>2024</v>
      </c>
      <c r="J368" t="str">
        <f>"Q"&amp;ROUNDUP(MONTH(Orders[[#This Row],[Order_Date]])/3,0)</f>
        <v>Q3</v>
      </c>
      <c r="K368" s="2">
        <f>(Orders[[#This Row],[Profit]]/Orders[[#This Row],[Sales]])*100</f>
        <v>13.633911882510013</v>
      </c>
    </row>
    <row r="369" spans="1:11" x14ac:dyDescent="0.3">
      <c r="A369" t="s">
        <v>613</v>
      </c>
      <c r="B369" s="1">
        <v>45619</v>
      </c>
      <c r="C369" t="s">
        <v>49</v>
      </c>
      <c r="D369" t="s">
        <v>344</v>
      </c>
      <c r="E369">
        <v>5</v>
      </c>
      <c r="F369">
        <v>45505</v>
      </c>
      <c r="G369">
        <v>5071.8999999999996</v>
      </c>
      <c r="H369" t="str">
        <f>TEXT(Orders[[#This Row],[Order_Date]],"mmmm")</f>
        <v>November</v>
      </c>
      <c r="I369">
        <f>YEAR(Orders[[#This Row],[Order_Date]])</f>
        <v>2024</v>
      </c>
      <c r="J369" t="str">
        <f>"Q"&amp;ROUNDUP(MONTH(Orders[[#This Row],[Order_Date]])/3,0)</f>
        <v>Q4</v>
      </c>
      <c r="K369" s="2">
        <f>(Orders[[#This Row],[Profit]]/Orders[[#This Row],[Sales]])*100</f>
        <v>11.145808152950226</v>
      </c>
    </row>
    <row r="370" spans="1:11" x14ac:dyDescent="0.3">
      <c r="A370" t="s">
        <v>614</v>
      </c>
      <c r="B370" s="1">
        <v>45447</v>
      </c>
      <c r="C370" t="s">
        <v>41</v>
      </c>
      <c r="D370" t="s">
        <v>257</v>
      </c>
      <c r="E370">
        <v>2</v>
      </c>
      <c r="F370">
        <v>13494</v>
      </c>
      <c r="G370">
        <v>1595.42</v>
      </c>
      <c r="H370" t="str">
        <f>TEXT(Orders[[#This Row],[Order_Date]],"mmmm")</f>
        <v>June</v>
      </c>
      <c r="I370">
        <f>YEAR(Orders[[#This Row],[Order_Date]])</f>
        <v>2024</v>
      </c>
      <c r="J370" t="str">
        <f>"Q"&amp;ROUNDUP(MONTH(Orders[[#This Row],[Order_Date]])/3,0)</f>
        <v>Q2</v>
      </c>
      <c r="K370" s="2">
        <f>(Orders[[#This Row],[Profit]]/Orders[[#This Row],[Sales]])*100</f>
        <v>11.823180672891656</v>
      </c>
    </row>
    <row r="371" spans="1:11" x14ac:dyDescent="0.3">
      <c r="A371" t="s">
        <v>615</v>
      </c>
      <c r="B371" s="1">
        <v>45366</v>
      </c>
      <c r="C371" t="s">
        <v>43</v>
      </c>
      <c r="D371" t="s">
        <v>247</v>
      </c>
      <c r="E371">
        <v>3</v>
      </c>
      <c r="F371">
        <v>33468</v>
      </c>
      <c r="G371">
        <v>7673.17</v>
      </c>
      <c r="H371" t="str">
        <f>TEXT(Orders[[#This Row],[Order_Date]],"mmmm")</f>
        <v>March</v>
      </c>
      <c r="I371">
        <f>YEAR(Orders[[#This Row],[Order_Date]])</f>
        <v>2024</v>
      </c>
      <c r="J371" t="str">
        <f>"Q"&amp;ROUNDUP(MONTH(Orders[[#This Row],[Order_Date]])/3,0)</f>
        <v>Q1</v>
      </c>
      <c r="K371" s="2">
        <f>(Orders[[#This Row],[Profit]]/Orders[[#This Row],[Sales]])*100</f>
        <v>22.926885383052468</v>
      </c>
    </row>
    <row r="372" spans="1:11" x14ac:dyDescent="0.3">
      <c r="A372" t="s">
        <v>616</v>
      </c>
      <c r="B372" s="1">
        <v>45438</v>
      </c>
      <c r="C372" t="s">
        <v>33</v>
      </c>
      <c r="D372" t="s">
        <v>266</v>
      </c>
      <c r="E372">
        <v>2</v>
      </c>
      <c r="F372">
        <v>22470</v>
      </c>
      <c r="G372">
        <v>2679.76</v>
      </c>
      <c r="H372" t="str">
        <f>TEXT(Orders[[#This Row],[Order_Date]],"mmmm")</f>
        <v>May</v>
      </c>
      <c r="I372">
        <f>YEAR(Orders[[#This Row],[Order_Date]])</f>
        <v>2024</v>
      </c>
      <c r="J372" t="str">
        <f>"Q"&amp;ROUNDUP(MONTH(Orders[[#This Row],[Order_Date]])/3,0)</f>
        <v>Q2</v>
      </c>
      <c r="K372" s="2">
        <f>(Orders[[#This Row],[Profit]]/Orders[[#This Row],[Sales]])*100</f>
        <v>11.92594570538496</v>
      </c>
    </row>
    <row r="373" spans="1:11" x14ac:dyDescent="0.3">
      <c r="A373" t="s">
        <v>617</v>
      </c>
      <c r="B373" s="1">
        <v>45394</v>
      </c>
      <c r="C373" t="s">
        <v>108</v>
      </c>
      <c r="D373" t="s">
        <v>247</v>
      </c>
      <c r="E373">
        <v>5</v>
      </c>
      <c r="F373">
        <v>55780</v>
      </c>
      <c r="G373">
        <v>5308.88</v>
      </c>
      <c r="H373" t="str">
        <f>TEXT(Orders[[#This Row],[Order_Date]],"mmmm")</f>
        <v>April</v>
      </c>
      <c r="I373">
        <f>YEAR(Orders[[#This Row],[Order_Date]])</f>
        <v>2024</v>
      </c>
      <c r="J373" t="str">
        <f>"Q"&amp;ROUNDUP(MONTH(Orders[[#This Row],[Order_Date]])/3,0)</f>
        <v>Q2</v>
      </c>
      <c r="K373" s="2">
        <f>(Orders[[#This Row],[Profit]]/Orders[[#This Row],[Sales]])*100</f>
        <v>9.5175331660093239</v>
      </c>
    </row>
    <row r="374" spans="1:11" x14ac:dyDescent="0.3">
      <c r="A374" t="s">
        <v>618</v>
      </c>
      <c r="B374" s="1">
        <v>45319</v>
      </c>
      <c r="C374" t="s">
        <v>78</v>
      </c>
      <c r="D374" t="s">
        <v>257</v>
      </c>
      <c r="E374">
        <v>1</v>
      </c>
      <c r="F374">
        <v>6747</v>
      </c>
      <c r="G374">
        <v>605.65</v>
      </c>
      <c r="H374" t="str">
        <f>TEXT(Orders[[#This Row],[Order_Date]],"mmmm")</f>
        <v>January</v>
      </c>
      <c r="I374">
        <f>YEAR(Orders[[#This Row],[Order_Date]])</f>
        <v>2024</v>
      </c>
      <c r="J374" t="str">
        <f>"Q"&amp;ROUNDUP(MONTH(Orders[[#This Row],[Order_Date]])/3,0)</f>
        <v>Q1</v>
      </c>
      <c r="K374" s="2">
        <f>(Orders[[#This Row],[Profit]]/Orders[[#This Row],[Sales]])*100</f>
        <v>8.976582184674669</v>
      </c>
    </row>
    <row r="375" spans="1:11" x14ac:dyDescent="0.3">
      <c r="A375" t="s">
        <v>619</v>
      </c>
      <c r="B375" s="1">
        <v>45404</v>
      </c>
      <c r="C375" t="s">
        <v>210</v>
      </c>
      <c r="D375" t="s">
        <v>239</v>
      </c>
      <c r="E375">
        <v>1</v>
      </c>
      <c r="F375">
        <v>25159</v>
      </c>
      <c r="G375">
        <v>6087.17</v>
      </c>
      <c r="H375" t="str">
        <f>TEXT(Orders[[#This Row],[Order_Date]],"mmmm")</f>
        <v>April</v>
      </c>
      <c r="I375">
        <f>YEAR(Orders[[#This Row],[Order_Date]])</f>
        <v>2024</v>
      </c>
      <c r="J375" t="str">
        <f>"Q"&amp;ROUNDUP(MONTH(Orders[[#This Row],[Order_Date]])/3,0)</f>
        <v>Q2</v>
      </c>
      <c r="K375" s="2">
        <f>(Orders[[#This Row],[Profit]]/Orders[[#This Row],[Sales]])*100</f>
        <v>24.194801065225167</v>
      </c>
    </row>
    <row r="376" spans="1:11" x14ac:dyDescent="0.3">
      <c r="A376" t="s">
        <v>620</v>
      </c>
      <c r="B376" s="1">
        <v>45419</v>
      </c>
      <c r="C376" t="s">
        <v>92</v>
      </c>
      <c r="D376" t="s">
        <v>231</v>
      </c>
      <c r="E376">
        <v>5</v>
      </c>
      <c r="F376">
        <v>274685</v>
      </c>
      <c r="G376">
        <v>41720.120000000003</v>
      </c>
      <c r="H376" t="str">
        <f>TEXT(Orders[[#This Row],[Order_Date]],"mmmm")</f>
        <v>May</v>
      </c>
      <c r="I376">
        <f>YEAR(Orders[[#This Row],[Order_Date]])</f>
        <v>2024</v>
      </c>
      <c r="J376" t="str">
        <f>"Q"&amp;ROUNDUP(MONTH(Orders[[#This Row],[Order_Date]])/3,0)</f>
        <v>Q2</v>
      </c>
      <c r="K376" s="2">
        <f>(Orders[[#This Row],[Profit]]/Orders[[#This Row],[Sales]])*100</f>
        <v>15.18835029215283</v>
      </c>
    </row>
    <row r="377" spans="1:11" x14ac:dyDescent="0.3">
      <c r="A377" t="s">
        <v>621</v>
      </c>
      <c r="B377" s="1">
        <v>45458</v>
      </c>
      <c r="C377" t="s">
        <v>204</v>
      </c>
      <c r="D377" t="s">
        <v>247</v>
      </c>
      <c r="E377">
        <v>3</v>
      </c>
      <c r="F377">
        <v>33468</v>
      </c>
      <c r="G377">
        <v>7029.74</v>
      </c>
      <c r="H377" t="str">
        <f>TEXT(Orders[[#This Row],[Order_Date]],"mmmm")</f>
        <v>June</v>
      </c>
      <c r="I377">
        <f>YEAR(Orders[[#This Row],[Order_Date]])</f>
        <v>2024</v>
      </c>
      <c r="J377" t="str">
        <f>"Q"&amp;ROUNDUP(MONTH(Orders[[#This Row],[Order_Date]])/3,0)</f>
        <v>Q2</v>
      </c>
      <c r="K377" s="2">
        <f>(Orders[[#This Row],[Profit]]/Orders[[#This Row],[Sales]])*100</f>
        <v>21.004362376000955</v>
      </c>
    </row>
    <row r="378" spans="1:11" x14ac:dyDescent="0.3">
      <c r="A378" t="s">
        <v>622</v>
      </c>
      <c r="B378" s="1">
        <v>45629</v>
      </c>
      <c r="C378" t="s">
        <v>108</v>
      </c>
      <c r="D378" t="s">
        <v>253</v>
      </c>
      <c r="E378">
        <v>4</v>
      </c>
      <c r="F378">
        <v>24100</v>
      </c>
      <c r="G378">
        <v>5059.9399999999996</v>
      </c>
      <c r="H378" t="str">
        <f>TEXT(Orders[[#This Row],[Order_Date]],"mmmm")</f>
        <v>December</v>
      </c>
      <c r="I378">
        <f>YEAR(Orders[[#This Row],[Order_Date]])</f>
        <v>2024</v>
      </c>
      <c r="J378" t="str">
        <f>"Q"&amp;ROUNDUP(MONTH(Orders[[#This Row],[Order_Date]])/3,0)</f>
        <v>Q4</v>
      </c>
      <c r="K378" s="2">
        <f>(Orders[[#This Row],[Profit]]/Orders[[#This Row],[Sales]])*100</f>
        <v>20.995601659751038</v>
      </c>
    </row>
    <row r="379" spans="1:11" x14ac:dyDescent="0.3">
      <c r="A379" t="s">
        <v>623</v>
      </c>
      <c r="B379" s="1">
        <v>45417</v>
      </c>
      <c r="C379" t="s">
        <v>176</v>
      </c>
      <c r="D379" t="s">
        <v>229</v>
      </c>
      <c r="E379">
        <v>4</v>
      </c>
      <c r="F379">
        <v>35492</v>
      </c>
      <c r="G379">
        <v>3378.64</v>
      </c>
      <c r="H379" t="str">
        <f>TEXT(Orders[[#This Row],[Order_Date]],"mmmm")</f>
        <v>May</v>
      </c>
      <c r="I379">
        <f>YEAR(Orders[[#This Row],[Order_Date]])</f>
        <v>2024</v>
      </c>
      <c r="J379" t="str">
        <f>"Q"&amp;ROUNDUP(MONTH(Orders[[#This Row],[Order_Date]])/3,0)</f>
        <v>Q2</v>
      </c>
      <c r="K379" s="2">
        <f>(Orders[[#This Row],[Profit]]/Orders[[#This Row],[Sales]])*100</f>
        <v>9.5194410007889108</v>
      </c>
    </row>
    <row r="380" spans="1:11" x14ac:dyDescent="0.3">
      <c r="A380" t="s">
        <v>624</v>
      </c>
      <c r="B380" s="1">
        <v>45350</v>
      </c>
      <c r="C380" t="s">
        <v>144</v>
      </c>
      <c r="D380" t="s">
        <v>233</v>
      </c>
      <c r="E380">
        <v>2</v>
      </c>
      <c r="F380">
        <v>111390</v>
      </c>
      <c r="G380">
        <v>20366.27</v>
      </c>
      <c r="H380" t="str">
        <f>TEXT(Orders[[#This Row],[Order_Date]],"mmmm")</f>
        <v>February</v>
      </c>
      <c r="I380">
        <f>YEAR(Orders[[#This Row],[Order_Date]])</f>
        <v>2024</v>
      </c>
      <c r="J380" t="str">
        <f>"Q"&amp;ROUNDUP(MONTH(Orders[[#This Row],[Order_Date]])/3,0)</f>
        <v>Q1</v>
      </c>
      <c r="K380" s="2">
        <f>(Orders[[#This Row],[Profit]]/Orders[[#This Row],[Sales]])*100</f>
        <v>18.283750785528323</v>
      </c>
    </row>
    <row r="381" spans="1:11" x14ac:dyDescent="0.3">
      <c r="A381" t="s">
        <v>625</v>
      </c>
      <c r="B381" s="1">
        <v>45564</v>
      </c>
      <c r="C381" t="s">
        <v>80</v>
      </c>
      <c r="D381" t="s">
        <v>237</v>
      </c>
      <c r="E381">
        <v>4</v>
      </c>
      <c r="F381">
        <v>34504</v>
      </c>
      <c r="G381">
        <v>7954.18</v>
      </c>
      <c r="H381" t="str">
        <f>TEXT(Orders[[#This Row],[Order_Date]],"mmmm")</f>
        <v>September</v>
      </c>
      <c r="I381">
        <f>YEAR(Orders[[#This Row],[Order_Date]])</f>
        <v>2024</v>
      </c>
      <c r="J381" t="str">
        <f>"Q"&amp;ROUNDUP(MONTH(Orders[[#This Row],[Order_Date]])/3,0)</f>
        <v>Q3</v>
      </c>
      <c r="K381" s="2">
        <f>(Orders[[#This Row],[Profit]]/Orders[[#This Row],[Sales]])*100</f>
        <v>23.052921400417343</v>
      </c>
    </row>
    <row r="382" spans="1:11" x14ac:dyDescent="0.3">
      <c r="A382" t="s">
        <v>626</v>
      </c>
      <c r="B382" s="1">
        <v>45478</v>
      </c>
      <c r="C382" t="s">
        <v>96</v>
      </c>
      <c r="D382" t="s">
        <v>233</v>
      </c>
      <c r="E382">
        <v>3</v>
      </c>
      <c r="F382">
        <v>167085</v>
      </c>
      <c r="G382">
        <v>24991.51</v>
      </c>
      <c r="H382" t="str">
        <f>TEXT(Orders[[#This Row],[Order_Date]],"mmmm")</f>
        <v>July</v>
      </c>
      <c r="I382">
        <f>YEAR(Orders[[#This Row],[Order_Date]])</f>
        <v>2024</v>
      </c>
      <c r="J382" t="str">
        <f>"Q"&amp;ROUNDUP(MONTH(Orders[[#This Row],[Order_Date]])/3,0)</f>
        <v>Q3</v>
      </c>
      <c r="K382" s="2">
        <f>(Orders[[#This Row],[Profit]]/Orders[[#This Row],[Sales]])*100</f>
        <v>14.957363018822752</v>
      </c>
    </row>
    <row r="383" spans="1:11" x14ac:dyDescent="0.3">
      <c r="A383" t="s">
        <v>627</v>
      </c>
      <c r="B383" s="1">
        <v>45553</v>
      </c>
      <c r="C383" t="s">
        <v>110</v>
      </c>
      <c r="D383" t="s">
        <v>233</v>
      </c>
      <c r="E383">
        <v>4</v>
      </c>
      <c r="F383">
        <v>222780</v>
      </c>
      <c r="G383">
        <v>54108.23</v>
      </c>
      <c r="H383" t="str">
        <f>TEXT(Orders[[#This Row],[Order_Date]],"mmmm")</f>
        <v>September</v>
      </c>
      <c r="I383">
        <f>YEAR(Orders[[#This Row],[Order_Date]])</f>
        <v>2024</v>
      </c>
      <c r="J383" t="str">
        <f>"Q"&amp;ROUNDUP(MONTH(Orders[[#This Row],[Order_Date]])/3,0)</f>
        <v>Q3</v>
      </c>
      <c r="K383" s="2">
        <f>(Orders[[#This Row],[Profit]]/Orders[[#This Row],[Sales]])*100</f>
        <v>24.287741269413772</v>
      </c>
    </row>
    <row r="384" spans="1:11" x14ac:dyDescent="0.3">
      <c r="A384" t="s">
        <v>628</v>
      </c>
      <c r="B384" s="1">
        <v>45446</v>
      </c>
      <c r="C384" t="s">
        <v>17</v>
      </c>
      <c r="D384" t="s">
        <v>253</v>
      </c>
      <c r="E384">
        <v>2</v>
      </c>
      <c r="F384">
        <v>12050</v>
      </c>
      <c r="G384">
        <v>1583.52</v>
      </c>
      <c r="H384" t="str">
        <f>TEXT(Orders[[#This Row],[Order_Date]],"mmmm")</f>
        <v>June</v>
      </c>
      <c r="I384">
        <f>YEAR(Orders[[#This Row],[Order_Date]])</f>
        <v>2024</v>
      </c>
      <c r="J384" t="str">
        <f>"Q"&amp;ROUNDUP(MONTH(Orders[[#This Row],[Order_Date]])/3,0)</f>
        <v>Q2</v>
      </c>
      <c r="K384" s="2">
        <f>(Orders[[#This Row],[Profit]]/Orders[[#This Row],[Sales]])*100</f>
        <v>13.141244813278007</v>
      </c>
    </row>
    <row r="385" spans="1:11" x14ac:dyDescent="0.3">
      <c r="A385" t="s">
        <v>629</v>
      </c>
      <c r="B385" s="1">
        <v>45368</v>
      </c>
      <c r="C385" t="s">
        <v>164</v>
      </c>
      <c r="D385" t="s">
        <v>260</v>
      </c>
      <c r="E385">
        <v>5</v>
      </c>
      <c r="F385">
        <v>279750</v>
      </c>
      <c r="G385">
        <v>56212.21</v>
      </c>
      <c r="H385" t="str">
        <f>TEXT(Orders[[#This Row],[Order_Date]],"mmmm")</f>
        <v>March</v>
      </c>
      <c r="I385">
        <f>YEAR(Orders[[#This Row],[Order_Date]])</f>
        <v>2024</v>
      </c>
      <c r="J385" t="str">
        <f>"Q"&amp;ROUNDUP(MONTH(Orders[[#This Row],[Order_Date]])/3,0)</f>
        <v>Q1</v>
      </c>
      <c r="K385" s="2">
        <f>(Orders[[#This Row],[Profit]]/Orders[[#This Row],[Sales]])*100</f>
        <v>20.093730116175156</v>
      </c>
    </row>
    <row r="386" spans="1:11" x14ac:dyDescent="0.3">
      <c r="A386" t="s">
        <v>630</v>
      </c>
      <c r="B386" s="1">
        <v>45332</v>
      </c>
      <c r="C386" t="s">
        <v>62</v>
      </c>
      <c r="D386" t="s">
        <v>266</v>
      </c>
      <c r="E386">
        <v>2</v>
      </c>
      <c r="F386">
        <v>22470</v>
      </c>
      <c r="G386">
        <v>2314.02</v>
      </c>
      <c r="H386" t="str">
        <f>TEXT(Orders[[#This Row],[Order_Date]],"mmmm")</f>
        <v>February</v>
      </c>
      <c r="I386">
        <f>YEAR(Orders[[#This Row],[Order_Date]])</f>
        <v>2024</v>
      </c>
      <c r="J386" t="str">
        <f>"Q"&amp;ROUNDUP(MONTH(Orders[[#This Row],[Order_Date]])/3,0)</f>
        <v>Q1</v>
      </c>
      <c r="K386" s="2">
        <f>(Orders[[#This Row],[Profit]]/Orders[[#This Row],[Sales]])*100</f>
        <v>10.29826435246996</v>
      </c>
    </row>
    <row r="387" spans="1:11" x14ac:dyDescent="0.3">
      <c r="A387" t="s">
        <v>631</v>
      </c>
      <c r="B387" s="1">
        <v>45453</v>
      </c>
      <c r="C387" t="s">
        <v>176</v>
      </c>
      <c r="D387" t="s">
        <v>231</v>
      </c>
      <c r="E387">
        <v>2</v>
      </c>
      <c r="F387">
        <v>109874</v>
      </c>
      <c r="G387">
        <v>15438.61</v>
      </c>
      <c r="H387" t="str">
        <f>TEXT(Orders[[#This Row],[Order_Date]],"mmmm")</f>
        <v>June</v>
      </c>
      <c r="I387">
        <f>YEAR(Orders[[#This Row],[Order_Date]])</f>
        <v>2024</v>
      </c>
      <c r="J387" t="str">
        <f>"Q"&amp;ROUNDUP(MONTH(Orders[[#This Row],[Order_Date]])/3,0)</f>
        <v>Q2</v>
      </c>
      <c r="K387" s="2">
        <f>(Orders[[#This Row],[Profit]]/Orders[[#This Row],[Sales]])*100</f>
        <v>14.051195005187761</v>
      </c>
    </row>
    <row r="388" spans="1:11" x14ac:dyDescent="0.3">
      <c r="A388" t="s">
        <v>632</v>
      </c>
      <c r="B388" s="1">
        <v>45511</v>
      </c>
      <c r="C388" t="s">
        <v>62</v>
      </c>
      <c r="D388" t="s">
        <v>231</v>
      </c>
      <c r="E388">
        <v>4</v>
      </c>
      <c r="F388">
        <v>219748</v>
      </c>
      <c r="G388">
        <v>29150.86</v>
      </c>
      <c r="H388" t="str">
        <f>TEXT(Orders[[#This Row],[Order_Date]],"mmmm")</f>
        <v>August</v>
      </c>
      <c r="I388">
        <f>YEAR(Orders[[#This Row],[Order_Date]])</f>
        <v>2024</v>
      </c>
      <c r="J388" t="str">
        <f>"Q"&amp;ROUNDUP(MONTH(Orders[[#This Row],[Order_Date]])/3,0)</f>
        <v>Q3</v>
      </c>
      <c r="K388" s="2">
        <f>(Orders[[#This Row],[Profit]]/Orders[[#This Row],[Sales]])*100</f>
        <v>13.265586034912719</v>
      </c>
    </row>
    <row r="389" spans="1:11" x14ac:dyDescent="0.3">
      <c r="A389" t="s">
        <v>633</v>
      </c>
      <c r="B389" s="1">
        <v>45347</v>
      </c>
      <c r="C389" t="s">
        <v>58</v>
      </c>
      <c r="D389" t="s">
        <v>241</v>
      </c>
      <c r="E389">
        <v>3</v>
      </c>
      <c r="F389">
        <v>25086</v>
      </c>
      <c r="G389">
        <v>5786.82</v>
      </c>
      <c r="H389" t="str">
        <f>TEXT(Orders[[#This Row],[Order_Date]],"mmmm")</f>
        <v>February</v>
      </c>
      <c r="I389">
        <f>YEAR(Orders[[#This Row],[Order_Date]])</f>
        <v>2024</v>
      </c>
      <c r="J389" t="str">
        <f>"Q"&amp;ROUNDUP(MONTH(Orders[[#This Row],[Order_Date]])/3,0)</f>
        <v>Q1</v>
      </c>
      <c r="K389" s="2">
        <f>(Orders[[#This Row],[Profit]]/Orders[[#This Row],[Sales]])*100</f>
        <v>23.067926333413059</v>
      </c>
    </row>
    <row r="390" spans="1:11" x14ac:dyDescent="0.3">
      <c r="A390" t="s">
        <v>634</v>
      </c>
      <c r="B390" s="1">
        <v>45537</v>
      </c>
      <c r="C390" t="s">
        <v>58</v>
      </c>
      <c r="D390" t="s">
        <v>233</v>
      </c>
      <c r="E390">
        <v>1</v>
      </c>
      <c r="F390">
        <v>55695</v>
      </c>
      <c r="G390">
        <v>10942.3</v>
      </c>
      <c r="H390" t="str">
        <f>TEXT(Orders[[#This Row],[Order_Date]],"mmmm")</f>
        <v>September</v>
      </c>
      <c r="I390">
        <f>YEAR(Orders[[#This Row],[Order_Date]])</f>
        <v>2024</v>
      </c>
      <c r="J390" t="str">
        <f>"Q"&amp;ROUNDUP(MONTH(Orders[[#This Row],[Order_Date]])/3,0)</f>
        <v>Q3</v>
      </c>
      <c r="K390" s="2">
        <f>(Orders[[#This Row],[Profit]]/Orders[[#This Row],[Sales]])*100</f>
        <v>19.646826465571415</v>
      </c>
    </row>
    <row r="391" spans="1:11" x14ac:dyDescent="0.3">
      <c r="A391" t="s">
        <v>635</v>
      </c>
      <c r="B391" s="1">
        <v>45390</v>
      </c>
      <c r="C391" t="s">
        <v>156</v>
      </c>
      <c r="D391" t="s">
        <v>247</v>
      </c>
      <c r="E391">
        <v>1</v>
      </c>
      <c r="F391">
        <v>11156</v>
      </c>
      <c r="G391">
        <v>2269.63</v>
      </c>
      <c r="H391" t="str">
        <f>TEXT(Orders[[#This Row],[Order_Date]],"mmmm")</f>
        <v>April</v>
      </c>
      <c r="I391">
        <f>YEAR(Orders[[#This Row],[Order_Date]])</f>
        <v>2024</v>
      </c>
      <c r="J391" t="str">
        <f>"Q"&amp;ROUNDUP(MONTH(Orders[[#This Row],[Order_Date]])/3,0)</f>
        <v>Q2</v>
      </c>
      <c r="K391" s="2">
        <f>(Orders[[#This Row],[Profit]]/Orders[[#This Row],[Sales]])*100</f>
        <v>20.344478307637146</v>
      </c>
    </row>
    <row r="392" spans="1:11" x14ac:dyDescent="0.3">
      <c r="A392" t="s">
        <v>636</v>
      </c>
      <c r="B392" s="1">
        <v>45473</v>
      </c>
      <c r="C392" t="s">
        <v>186</v>
      </c>
      <c r="D392" t="s">
        <v>253</v>
      </c>
      <c r="E392">
        <v>3</v>
      </c>
      <c r="F392">
        <v>18075</v>
      </c>
      <c r="G392">
        <v>3006.18</v>
      </c>
      <c r="H392" t="str">
        <f>TEXT(Orders[[#This Row],[Order_Date]],"mmmm")</f>
        <v>June</v>
      </c>
      <c r="I392">
        <f>YEAR(Orders[[#This Row],[Order_Date]])</f>
        <v>2024</v>
      </c>
      <c r="J392" t="str">
        <f>"Q"&amp;ROUNDUP(MONTH(Orders[[#This Row],[Order_Date]])/3,0)</f>
        <v>Q2</v>
      </c>
      <c r="K392" s="2">
        <f>(Orders[[#This Row],[Profit]]/Orders[[#This Row],[Sales]])*100</f>
        <v>16.631701244813275</v>
      </c>
    </row>
    <row r="393" spans="1:11" x14ac:dyDescent="0.3">
      <c r="A393" t="s">
        <v>637</v>
      </c>
      <c r="B393" s="1">
        <v>45386</v>
      </c>
      <c r="C393" t="s">
        <v>148</v>
      </c>
      <c r="D393" t="s">
        <v>253</v>
      </c>
      <c r="E393">
        <v>3</v>
      </c>
      <c r="F393">
        <v>18075</v>
      </c>
      <c r="G393">
        <v>3456.16</v>
      </c>
      <c r="H393" t="str">
        <f>TEXT(Orders[[#This Row],[Order_Date]],"mmmm")</f>
        <v>April</v>
      </c>
      <c r="I393">
        <f>YEAR(Orders[[#This Row],[Order_Date]])</f>
        <v>2024</v>
      </c>
      <c r="J393" t="str">
        <f>"Q"&amp;ROUNDUP(MONTH(Orders[[#This Row],[Order_Date]])/3,0)</f>
        <v>Q2</v>
      </c>
      <c r="K393" s="2">
        <f>(Orders[[#This Row],[Profit]]/Orders[[#This Row],[Sales]])*100</f>
        <v>19.121217150760721</v>
      </c>
    </row>
    <row r="394" spans="1:11" x14ac:dyDescent="0.3">
      <c r="A394" t="s">
        <v>638</v>
      </c>
      <c r="B394" s="1">
        <v>45656</v>
      </c>
      <c r="C394" t="s">
        <v>116</v>
      </c>
      <c r="D394" t="s">
        <v>247</v>
      </c>
      <c r="E394">
        <v>3</v>
      </c>
      <c r="F394">
        <v>33468</v>
      </c>
      <c r="G394">
        <v>7714.13</v>
      </c>
      <c r="H394" t="str">
        <f>TEXT(Orders[[#This Row],[Order_Date]],"mmmm")</f>
        <v>December</v>
      </c>
      <c r="I394">
        <f>YEAR(Orders[[#This Row],[Order_Date]])</f>
        <v>2024</v>
      </c>
      <c r="J394" t="str">
        <f>"Q"&amp;ROUNDUP(MONTH(Orders[[#This Row],[Order_Date]])/3,0)</f>
        <v>Q4</v>
      </c>
      <c r="K394" s="2">
        <f>(Orders[[#This Row],[Profit]]/Orders[[#This Row],[Sales]])*100</f>
        <v>23.049270945380663</v>
      </c>
    </row>
    <row r="395" spans="1:11" x14ac:dyDescent="0.3">
      <c r="A395" t="s">
        <v>639</v>
      </c>
      <c r="B395" s="1">
        <v>45447</v>
      </c>
      <c r="C395" t="s">
        <v>72</v>
      </c>
      <c r="D395" t="s">
        <v>247</v>
      </c>
      <c r="E395">
        <v>2</v>
      </c>
      <c r="F395">
        <v>22312</v>
      </c>
      <c r="G395">
        <v>4962.55</v>
      </c>
      <c r="H395" t="str">
        <f>TEXT(Orders[[#This Row],[Order_Date]],"mmmm")</f>
        <v>June</v>
      </c>
      <c r="I395">
        <f>YEAR(Orders[[#This Row],[Order_Date]])</f>
        <v>2024</v>
      </c>
      <c r="J395" t="str">
        <f>"Q"&amp;ROUNDUP(MONTH(Orders[[#This Row],[Order_Date]])/3,0)</f>
        <v>Q2</v>
      </c>
      <c r="K395" s="2">
        <f>(Orders[[#This Row],[Profit]]/Orders[[#This Row],[Sales]])*100</f>
        <v>22.241618859806383</v>
      </c>
    </row>
    <row r="396" spans="1:11" x14ac:dyDescent="0.3">
      <c r="A396" t="s">
        <v>640</v>
      </c>
      <c r="B396" s="1">
        <v>45317</v>
      </c>
      <c r="C396" t="s">
        <v>102</v>
      </c>
      <c r="D396" t="s">
        <v>245</v>
      </c>
      <c r="E396">
        <v>4</v>
      </c>
      <c r="F396">
        <v>96944</v>
      </c>
      <c r="G396">
        <v>11782.39</v>
      </c>
      <c r="H396" t="str">
        <f>TEXT(Orders[[#This Row],[Order_Date]],"mmmm")</f>
        <v>January</v>
      </c>
      <c r="I396">
        <f>YEAR(Orders[[#This Row],[Order_Date]])</f>
        <v>2024</v>
      </c>
      <c r="J396" t="str">
        <f>"Q"&amp;ROUNDUP(MONTH(Orders[[#This Row],[Order_Date]])/3,0)</f>
        <v>Q1</v>
      </c>
      <c r="K396" s="2">
        <f>(Orders[[#This Row],[Profit]]/Orders[[#This Row],[Sales]])*100</f>
        <v>12.153810447268526</v>
      </c>
    </row>
    <row r="397" spans="1:11" x14ac:dyDescent="0.3">
      <c r="A397" t="s">
        <v>641</v>
      </c>
      <c r="B397" s="1">
        <v>45341</v>
      </c>
      <c r="C397" t="s">
        <v>78</v>
      </c>
      <c r="D397" t="s">
        <v>279</v>
      </c>
      <c r="E397">
        <v>5</v>
      </c>
      <c r="F397">
        <v>31100</v>
      </c>
      <c r="G397">
        <v>2524.09</v>
      </c>
      <c r="H397" t="str">
        <f>TEXT(Orders[[#This Row],[Order_Date]],"mmmm")</f>
        <v>February</v>
      </c>
      <c r="I397">
        <f>YEAR(Orders[[#This Row],[Order_Date]])</f>
        <v>2024</v>
      </c>
      <c r="J397" t="str">
        <f>"Q"&amp;ROUNDUP(MONTH(Orders[[#This Row],[Order_Date]])/3,0)</f>
        <v>Q1</v>
      </c>
      <c r="K397" s="2">
        <f>(Orders[[#This Row],[Profit]]/Orders[[#This Row],[Sales]])*100</f>
        <v>8.1160450160771713</v>
      </c>
    </row>
    <row r="398" spans="1:11" x14ac:dyDescent="0.3">
      <c r="A398" t="s">
        <v>642</v>
      </c>
      <c r="B398" s="1">
        <v>45428</v>
      </c>
      <c r="C398" t="s">
        <v>54</v>
      </c>
      <c r="D398" t="s">
        <v>227</v>
      </c>
      <c r="E398">
        <v>3</v>
      </c>
      <c r="F398">
        <v>28182</v>
      </c>
      <c r="G398">
        <v>4679.53</v>
      </c>
      <c r="H398" t="str">
        <f>TEXT(Orders[[#This Row],[Order_Date]],"mmmm")</f>
        <v>May</v>
      </c>
      <c r="I398">
        <f>YEAR(Orders[[#This Row],[Order_Date]])</f>
        <v>2024</v>
      </c>
      <c r="J398" t="str">
        <f>"Q"&amp;ROUNDUP(MONTH(Orders[[#This Row],[Order_Date]])/3,0)</f>
        <v>Q2</v>
      </c>
      <c r="K398" s="2">
        <f>(Orders[[#This Row],[Profit]]/Orders[[#This Row],[Sales]])*100</f>
        <v>16.604676744021006</v>
      </c>
    </row>
    <row r="399" spans="1:11" x14ac:dyDescent="0.3">
      <c r="A399" t="s">
        <v>643</v>
      </c>
      <c r="B399" s="1">
        <v>45585</v>
      </c>
      <c r="C399" t="s">
        <v>56</v>
      </c>
      <c r="D399" t="s">
        <v>257</v>
      </c>
      <c r="E399">
        <v>2</v>
      </c>
      <c r="F399">
        <v>13494</v>
      </c>
      <c r="G399">
        <v>1252.48</v>
      </c>
      <c r="H399" t="str">
        <f>TEXT(Orders[[#This Row],[Order_Date]],"mmmm")</f>
        <v>October</v>
      </c>
      <c r="I399">
        <f>YEAR(Orders[[#This Row],[Order_Date]])</f>
        <v>2024</v>
      </c>
      <c r="J399" t="str">
        <f>"Q"&amp;ROUNDUP(MONTH(Orders[[#This Row],[Order_Date]])/3,0)</f>
        <v>Q4</v>
      </c>
      <c r="K399" s="2">
        <f>(Orders[[#This Row],[Profit]]/Orders[[#This Row],[Sales]])*100</f>
        <v>9.2817548540091881</v>
      </c>
    </row>
    <row r="400" spans="1:11" x14ac:dyDescent="0.3">
      <c r="A400" t="s">
        <v>644</v>
      </c>
      <c r="B400" s="1">
        <v>45569</v>
      </c>
      <c r="C400" t="s">
        <v>150</v>
      </c>
      <c r="D400" t="s">
        <v>255</v>
      </c>
      <c r="E400">
        <v>5</v>
      </c>
      <c r="F400">
        <v>128040</v>
      </c>
      <c r="G400">
        <v>23309.1</v>
      </c>
      <c r="H400" t="str">
        <f>TEXT(Orders[[#This Row],[Order_Date]],"mmmm")</f>
        <v>October</v>
      </c>
      <c r="I400">
        <f>YEAR(Orders[[#This Row],[Order_Date]])</f>
        <v>2024</v>
      </c>
      <c r="J400" t="str">
        <f>"Q"&amp;ROUNDUP(MONTH(Orders[[#This Row],[Order_Date]])/3,0)</f>
        <v>Q4</v>
      </c>
      <c r="K400" s="2">
        <f>(Orders[[#This Row],[Profit]]/Orders[[#This Row],[Sales]])*100</f>
        <v>18.204545454545453</v>
      </c>
    </row>
    <row r="401" spans="1:11" x14ac:dyDescent="0.3">
      <c r="A401" t="s">
        <v>645</v>
      </c>
      <c r="B401" s="1">
        <v>45385</v>
      </c>
      <c r="C401" t="s">
        <v>130</v>
      </c>
      <c r="D401" t="s">
        <v>266</v>
      </c>
      <c r="E401">
        <v>5</v>
      </c>
      <c r="F401">
        <v>56175</v>
      </c>
      <c r="G401">
        <v>9381.08</v>
      </c>
      <c r="H401" t="str">
        <f>TEXT(Orders[[#This Row],[Order_Date]],"mmmm")</f>
        <v>April</v>
      </c>
      <c r="I401">
        <f>YEAR(Orders[[#This Row],[Order_Date]])</f>
        <v>2024</v>
      </c>
      <c r="J401" t="str">
        <f>"Q"&amp;ROUNDUP(MONTH(Orders[[#This Row],[Order_Date]])/3,0)</f>
        <v>Q2</v>
      </c>
      <c r="K401" s="2">
        <f>(Orders[[#This Row],[Profit]]/Orders[[#This Row],[Sales]])*100</f>
        <v>16.699741878059633</v>
      </c>
    </row>
    <row r="402" spans="1:11" x14ac:dyDescent="0.3">
      <c r="A402" t="s">
        <v>646</v>
      </c>
      <c r="B402" s="1">
        <v>45329</v>
      </c>
      <c r="C402" t="s">
        <v>150</v>
      </c>
      <c r="D402" t="s">
        <v>253</v>
      </c>
      <c r="E402">
        <v>2</v>
      </c>
      <c r="F402">
        <v>12050</v>
      </c>
      <c r="G402">
        <v>1851.21</v>
      </c>
      <c r="H402" t="str">
        <f>TEXT(Orders[[#This Row],[Order_Date]],"mmmm")</f>
        <v>February</v>
      </c>
      <c r="I402">
        <f>YEAR(Orders[[#This Row],[Order_Date]])</f>
        <v>2024</v>
      </c>
      <c r="J402" t="str">
        <f>"Q"&amp;ROUNDUP(MONTH(Orders[[#This Row],[Order_Date]])/3,0)</f>
        <v>Q1</v>
      </c>
      <c r="K402" s="2">
        <f>(Orders[[#This Row],[Profit]]/Orders[[#This Row],[Sales]])*100</f>
        <v>15.362738589211618</v>
      </c>
    </row>
    <row r="403" spans="1:11" x14ac:dyDescent="0.3">
      <c r="A403" t="s">
        <v>647</v>
      </c>
      <c r="B403" s="1">
        <v>45360</v>
      </c>
      <c r="C403" t="s">
        <v>90</v>
      </c>
      <c r="D403" t="s">
        <v>263</v>
      </c>
      <c r="E403">
        <v>2</v>
      </c>
      <c r="F403">
        <v>14310</v>
      </c>
      <c r="G403">
        <v>3000.94</v>
      </c>
      <c r="H403" t="str">
        <f>TEXT(Orders[[#This Row],[Order_Date]],"mmmm")</f>
        <v>March</v>
      </c>
      <c r="I403">
        <f>YEAR(Orders[[#This Row],[Order_Date]])</f>
        <v>2024</v>
      </c>
      <c r="J403" t="str">
        <f>"Q"&amp;ROUNDUP(MONTH(Orders[[#This Row],[Order_Date]])/3,0)</f>
        <v>Q1</v>
      </c>
      <c r="K403" s="2">
        <f>(Orders[[#This Row],[Profit]]/Orders[[#This Row],[Sales]])*100</f>
        <v>20.970929419986025</v>
      </c>
    </row>
    <row r="404" spans="1:11" x14ac:dyDescent="0.3">
      <c r="A404" t="s">
        <v>648</v>
      </c>
      <c r="B404" s="1">
        <v>45477</v>
      </c>
      <c r="C404" t="s">
        <v>216</v>
      </c>
      <c r="D404" t="s">
        <v>263</v>
      </c>
      <c r="E404">
        <v>1</v>
      </c>
      <c r="F404">
        <v>7155</v>
      </c>
      <c r="G404">
        <v>771.39</v>
      </c>
      <c r="H404" t="str">
        <f>TEXT(Orders[[#This Row],[Order_Date]],"mmmm")</f>
        <v>July</v>
      </c>
      <c r="I404">
        <f>YEAR(Orders[[#This Row],[Order_Date]])</f>
        <v>2024</v>
      </c>
      <c r="J404" t="str">
        <f>"Q"&amp;ROUNDUP(MONTH(Orders[[#This Row],[Order_Date]])/3,0)</f>
        <v>Q3</v>
      </c>
      <c r="K404" s="2">
        <f>(Orders[[#This Row],[Profit]]/Orders[[#This Row],[Sales]])*100</f>
        <v>10.781132075471698</v>
      </c>
    </row>
    <row r="405" spans="1:11" x14ac:dyDescent="0.3">
      <c r="A405" t="s">
        <v>649</v>
      </c>
      <c r="B405" s="1">
        <v>45413</v>
      </c>
      <c r="C405" t="s">
        <v>66</v>
      </c>
      <c r="D405" t="s">
        <v>247</v>
      </c>
      <c r="E405">
        <v>3</v>
      </c>
      <c r="F405">
        <v>33468</v>
      </c>
      <c r="G405">
        <v>3146.6</v>
      </c>
      <c r="H405" t="str">
        <f>TEXT(Orders[[#This Row],[Order_Date]],"mmmm")</f>
        <v>May</v>
      </c>
      <c r="I405">
        <f>YEAR(Orders[[#This Row],[Order_Date]])</f>
        <v>2024</v>
      </c>
      <c r="J405" t="str">
        <f>"Q"&amp;ROUNDUP(MONTH(Orders[[#This Row],[Order_Date]])/3,0)</f>
        <v>Q2</v>
      </c>
      <c r="K405" s="2">
        <f>(Orders[[#This Row],[Profit]]/Orders[[#This Row],[Sales]])*100</f>
        <v>9.4018166606908089</v>
      </c>
    </row>
    <row r="406" spans="1:11" x14ac:dyDescent="0.3">
      <c r="A406" t="s">
        <v>650</v>
      </c>
      <c r="B406" s="1">
        <v>45627</v>
      </c>
      <c r="C406" t="s">
        <v>192</v>
      </c>
      <c r="D406" t="s">
        <v>263</v>
      </c>
      <c r="E406">
        <v>1</v>
      </c>
      <c r="F406">
        <v>7155</v>
      </c>
      <c r="G406">
        <v>1109.1199999999999</v>
      </c>
      <c r="H406" t="str">
        <f>TEXT(Orders[[#This Row],[Order_Date]],"mmmm")</f>
        <v>December</v>
      </c>
      <c r="I406">
        <f>YEAR(Orders[[#This Row],[Order_Date]])</f>
        <v>2024</v>
      </c>
      <c r="J406" t="str">
        <f>"Q"&amp;ROUNDUP(MONTH(Orders[[#This Row],[Order_Date]])/3,0)</f>
        <v>Q4</v>
      </c>
      <c r="K406" s="2">
        <f>(Orders[[#This Row],[Profit]]/Orders[[#This Row],[Sales]])*100</f>
        <v>15.501327742837177</v>
      </c>
    </row>
    <row r="407" spans="1:11" x14ac:dyDescent="0.3">
      <c r="A407" t="s">
        <v>651</v>
      </c>
      <c r="B407" s="1">
        <v>45645</v>
      </c>
      <c r="C407" t="s">
        <v>70</v>
      </c>
      <c r="D407" t="s">
        <v>235</v>
      </c>
      <c r="E407">
        <v>3</v>
      </c>
      <c r="F407">
        <v>34026</v>
      </c>
      <c r="G407">
        <v>3676.53</v>
      </c>
      <c r="H407" t="str">
        <f>TEXT(Orders[[#This Row],[Order_Date]],"mmmm")</f>
        <v>December</v>
      </c>
      <c r="I407">
        <f>YEAR(Orders[[#This Row],[Order_Date]])</f>
        <v>2024</v>
      </c>
      <c r="J407" t="str">
        <f>"Q"&amp;ROUNDUP(MONTH(Orders[[#This Row],[Order_Date]])/3,0)</f>
        <v>Q4</v>
      </c>
      <c r="K407" s="2">
        <f>(Orders[[#This Row],[Profit]]/Orders[[#This Row],[Sales]])*100</f>
        <v>10.805060835831423</v>
      </c>
    </row>
    <row r="408" spans="1:11" x14ac:dyDescent="0.3">
      <c r="A408" t="s">
        <v>652</v>
      </c>
      <c r="B408" s="1">
        <v>45537</v>
      </c>
      <c r="C408" t="s">
        <v>190</v>
      </c>
      <c r="D408" t="s">
        <v>344</v>
      </c>
      <c r="E408">
        <v>2</v>
      </c>
      <c r="F408">
        <v>18202</v>
      </c>
      <c r="G408">
        <v>2434.25</v>
      </c>
      <c r="H408" t="str">
        <f>TEXT(Orders[[#This Row],[Order_Date]],"mmmm")</f>
        <v>September</v>
      </c>
      <c r="I408">
        <f>YEAR(Orders[[#This Row],[Order_Date]])</f>
        <v>2024</v>
      </c>
      <c r="J408" t="str">
        <f>"Q"&amp;ROUNDUP(MONTH(Orders[[#This Row],[Order_Date]])/3,0)</f>
        <v>Q3</v>
      </c>
      <c r="K408" s="2">
        <f>(Orders[[#This Row],[Profit]]/Orders[[#This Row],[Sales]])*100</f>
        <v>13.373530381276783</v>
      </c>
    </row>
    <row r="409" spans="1:11" x14ac:dyDescent="0.3">
      <c r="A409" t="s">
        <v>653</v>
      </c>
      <c r="B409" s="1">
        <v>45547</v>
      </c>
      <c r="C409" t="s">
        <v>160</v>
      </c>
      <c r="D409" t="s">
        <v>247</v>
      </c>
      <c r="E409">
        <v>1</v>
      </c>
      <c r="F409">
        <v>11156</v>
      </c>
      <c r="G409">
        <v>2510.7199999999998</v>
      </c>
      <c r="H409" t="str">
        <f>TEXT(Orders[[#This Row],[Order_Date]],"mmmm")</f>
        <v>September</v>
      </c>
      <c r="I409">
        <f>YEAR(Orders[[#This Row],[Order_Date]])</f>
        <v>2024</v>
      </c>
      <c r="J409" t="str">
        <f>"Q"&amp;ROUNDUP(MONTH(Orders[[#This Row],[Order_Date]])/3,0)</f>
        <v>Q3</v>
      </c>
      <c r="K409" s="2">
        <f>(Orders[[#This Row],[Profit]]/Orders[[#This Row],[Sales]])*100</f>
        <v>22.505557547508065</v>
      </c>
    </row>
    <row r="410" spans="1:11" x14ac:dyDescent="0.3">
      <c r="A410" t="s">
        <v>654</v>
      </c>
      <c r="B410" s="1">
        <v>45553</v>
      </c>
      <c r="C410" t="s">
        <v>162</v>
      </c>
      <c r="D410" t="s">
        <v>253</v>
      </c>
      <c r="E410">
        <v>2</v>
      </c>
      <c r="F410">
        <v>12050</v>
      </c>
      <c r="G410">
        <v>1964.06</v>
      </c>
      <c r="H410" t="str">
        <f>TEXT(Orders[[#This Row],[Order_Date]],"mmmm")</f>
        <v>September</v>
      </c>
      <c r="I410">
        <f>YEAR(Orders[[#This Row],[Order_Date]])</f>
        <v>2024</v>
      </c>
      <c r="J410" t="str">
        <f>"Q"&amp;ROUNDUP(MONTH(Orders[[#This Row],[Order_Date]])/3,0)</f>
        <v>Q3</v>
      </c>
      <c r="K410" s="2">
        <f>(Orders[[#This Row],[Profit]]/Orders[[#This Row],[Sales]])*100</f>
        <v>16.299253112033192</v>
      </c>
    </row>
    <row r="411" spans="1:11" x14ac:dyDescent="0.3">
      <c r="A411" t="s">
        <v>655</v>
      </c>
      <c r="B411" s="1">
        <v>45585</v>
      </c>
      <c r="C411" t="s">
        <v>100</v>
      </c>
      <c r="D411" t="s">
        <v>245</v>
      </c>
      <c r="E411">
        <v>3</v>
      </c>
      <c r="F411">
        <v>72708</v>
      </c>
      <c r="G411">
        <v>13295.95</v>
      </c>
      <c r="H411" t="str">
        <f>TEXT(Orders[[#This Row],[Order_Date]],"mmmm")</f>
        <v>October</v>
      </c>
      <c r="I411">
        <f>YEAR(Orders[[#This Row],[Order_Date]])</f>
        <v>2024</v>
      </c>
      <c r="J411" t="str">
        <f>"Q"&amp;ROUNDUP(MONTH(Orders[[#This Row],[Order_Date]])/3,0)</f>
        <v>Q4</v>
      </c>
      <c r="K411" s="2">
        <f>(Orders[[#This Row],[Profit]]/Orders[[#This Row],[Sales]])*100</f>
        <v>18.286777245970185</v>
      </c>
    </row>
    <row r="412" spans="1:11" x14ac:dyDescent="0.3">
      <c r="A412" t="s">
        <v>656</v>
      </c>
      <c r="B412" s="1">
        <v>45328</v>
      </c>
      <c r="C412" t="s">
        <v>41</v>
      </c>
      <c r="D412" t="s">
        <v>316</v>
      </c>
      <c r="E412">
        <v>3</v>
      </c>
      <c r="F412">
        <v>163152</v>
      </c>
      <c r="G412">
        <v>24577.66</v>
      </c>
      <c r="H412" t="str">
        <f>TEXT(Orders[[#This Row],[Order_Date]],"mmmm")</f>
        <v>February</v>
      </c>
      <c r="I412">
        <f>YEAR(Orders[[#This Row],[Order_Date]])</f>
        <v>2024</v>
      </c>
      <c r="J412" t="str">
        <f>"Q"&amp;ROUNDUP(MONTH(Orders[[#This Row],[Order_Date]])/3,0)</f>
        <v>Q1</v>
      </c>
      <c r="K412" s="2">
        <f>(Orders[[#This Row],[Profit]]/Orders[[#This Row],[Sales]])*100</f>
        <v>15.064271354319898</v>
      </c>
    </row>
    <row r="413" spans="1:11" x14ac:dyDescent="0.3">
      <c r="A413" t="s">
        <v>657</v>
      </c>
      <c r="B413" s="1">
        <v>45384</v>
      </c>
      <c r="C413" t="s">
        <v>86</v>
      </c>
      <c r="D413" t="s">
        <v>237</v>
      </c>
      <c r="E413">
        <v>3</v>
      </c>
      <c r="F413">
        <v>25878</v>
      </c>
      <c r="G413">
        <v>2154.04</v>
      </c>
      <c r="H413" t="str">
        <f>TEXT(Orders[[#This Row],[Order_Date]],"mmmm")</f>
        <v>April</v>
      </c>
      <c r="I413">
        <f>YEAR(Orders[[#This Row],[Order_Date]])</f>
        <v>2024</v>
      </c>
      <c r="J413" t="str">
        <f>"Q"&amp;ROUNDUP(MONTH(Orders[[#This Row],[Order_Date]])/3,0)</f>
        <v>Q2</v>
      </c>
      <c r="K413" s="2">
        <f>(Orders[[#This Row],[Profit]]/Orders[[#This Row],[Sales]])*100</f>
        <v>8.3238271891181697</v>
      </c>
    </row>
    <row r="414" spans="1:11" x14ac:dyDescent="0.3">
      <c r="A414" t="s">
        <v>658</v>
      </c>
      <c r="B414" s="1">
        <v>45421</v>
      </c>
      <c r="C414" t="s">
        <v>102</v>
      </c>
      <c r="D414" t="s">
        <v>227</v>
      </c>
      <c r="E414">
        <v>3</v>
      </c>
      <c r="F414">
        <v>28182</v>
      </c>
      <c r="G414">
        <v>3512.17</v>
      </c>
      <c r="H414" t="str">
        <f>TEXT(Orders[[#This Row],[Order_Date]],"mmmm")</f>
        <v>May</v>
      </c>
      <c r="I414">
        <f>YEAR(Orders[[#This Row],[Order_Date]])</f>
        <v>2024</v>
      </c>
      <c r="J414" t="str">
        <f>"Q"&amp;ROUNDUP(MONTH(Orders[[#This Row],[Order_Date]])/3,0)</f>
        <v>Q2</v>
      </c>
      <c r="K414" s="2">
        <f>(Orders[[#This Row],[Profit]]/Orders[[#This Row],[Sales]])*100</f>
        <v>12.462458306720601</v>
      </c>
    </row>
    <row r="415" spans="1:11" x14ac:dyDescent="0.3">
      <c r="A415" t="s">
        <v>659</v>
      </c>
      <c r="B415" s="1">
        <v>45442</v>
      </c>
      <c r="C415" t="s">
        <v>98</v>
      </c>
      <c r="D415" t="s">
        <v>316</v>
      </c>
      <c r="E415">
        <v>4</v>
      </c>
      <c r="F415">
        <v>217536</v>
      </c>
      <c r="G415">
        <v>52564.800000000003</v>
      </c>
      <c r="H415" t="str">
        <f>TEXT(Orders[[#This Row],[Order_Date]],"mmmm")</f>
        <v>May</v>
      </c>
      <c r="I415">
        <f>YEAR(Orders[[#This Row],[Order_Date]])</f>
        <v>2024</v>
      </c>
      <c r="J415" t="str">
        <f>"Q"&amp;ROUNDUP(MONTH(Orders[[#This Row],[Order_Date]])/3,0)</f>
        <v>Q2</v>
      </c>
      <c r="K415" s="2">
        <f>(Orders[[#This Row],[Profit]]/Orders[[#This Row],[Sales]])*100</f>
        <v>24.163724624889674</v>
      </c>
    </row>
    <row r="416" spans="1:11" x14ac:dyDescent="0.3">
      <c r="A416" t="s">
        <v>660</v>
      </c>
      <c r="B416" s="1">
        <v>45512</v>
      </c>
      <c r="C416" t="s">
        <v>60</v>
      </c>
      <c r="D416" t="s">
        <v>279</v>
      </c>
      <c r="E416">
        <v>1</v>
      </c>
      <c r="F416">
        <v>6220</v>
      </c>
      <c r="G416">
        <v>620.04999999999995</v>
      </c>
      <c r="H416" t="str">
        <f>TEXT(Orders[[#This Row],[Order_Date]],"mmmm")</f>
        <v>August</v>
      </c>
      <c r="I416">
        <f>YEAR(Orders[[#This Row],[Order_Date]])</f>
        <v>2024</v>
      </c>
      <c r="J416" t="str">
        <f>"Q"&amp;ROUNDUP(MONTH(Orders[[#This Row],[Order_Date]])/3,0)</f>
        <v>Q3</v>
      </c>
      <c r="K416" s="2">
        <f>(Orders[[#This Row],[Profit]]/Orders[[#This Row],[Sales]])*100</f>
        <v>9.9686495176848862</v>
      </c>
    </row>
    <row r="417" spans="1:11" x14ac:dyDescent="0.3">
      <c r="A417" t="s">
        <v>661</v>
      </c>
      <c r="B417" s="1">
        <v>45626</v>
      </c>
      <c r="C417" t="s">
        <v>176</v>
      </c>
      <c r="D417" t="s">
        <v>263</v>
      </c>
      <c r="E417">
        <v>3</v>
      </c>
      <c r="F417">
        <v>21465</v>
      </c>
      <c r="G417">
        <v>3017.95</v>
      </c>
      <c r="H417" t="str">
        <f>TEXT(Orders[[#This Row],[Order_Date]],"mmmm")</f>
        <v>November</v>
      </c>
      <c r="I417">
        <f>YEAR(Orders[[#This Row],[Order_Date]])</f>
        <v>2024</v>
      </c>
      <c r="J417" t="str">
        <f>"Q"&amp;ROUNDUP(MONTH(Orders[[#This Row],[Order_Date]])/3,0)</f>
        <v>Q4</v>
      </c>
      <c r="K417" s="2">
        <f>(Orders[[#This Row],[Profit]]/Orders[[#This Row],[Sales]])*100</f>
        <v>14.059864896342884</v>
      </c>
    </row>
    <row r="418" spans="1:11" x14ac:dyDescent="0.3">
      <c r="A418" t="s">
        <v>662</v>
      </c>
      <c r="B418" s="1">
        <v>45603</v>
      </c>
      <c r="C418" t="s">
        <v>204</v>
      </c>
      <c r="D418" t="s">
        <v>245</v>
      </c>
      <c r="E418">
        <v>4</v>
      </c>
      <c r="F418">
        <v>96944</v>
      </c>
      <c r="G418">
        <v>17248.8</v>
      </c>
      <c r="H418" t="str">
        <f>TEXT(Orders[[#This Row],[Order_Date]],"mmmm")</f>
        <v>November</v>
      </c>
      <c r="I418">
        <f>YEAR(Orders[[#This Row],[Order_Date]])</f>
        <v>2024</v>
      </c>
      <c r="J418" t="str">
        <f>"Q"&amp;ROUNDUP(MONTH(Orders[[#This Row],[Order_Date]])/3,0)</f>
        <v>Q4</v>
      </c>
      <c r="K418" s="2">
        <f>(Orders[[#This Row],[Profit]]/Orders[[#This Row],[Sales]])*100</f>
        <v>17.792540023106124</v>
      </c>
    </row>
    <row r="419" spans="1:11" x14ac:dyDescent="0.3">
      <c r="A419" t="s">
        <v>663</v>
      </c>
      <c r="B419" s="1">
        <v>45340</v>
      </c>
      <c r="C419" t="s">
        <v>84</v>
      </c>
      <c r="D419" t="s">
        <v>257</v>
      </c>
      <c r="E419">
        <v>3</v>
      </c>
      <c r="F419">
        <v>20241</v>
      </c>
      <c r="G419">
        <v>2110.71</v>
      </c>
      <c r="H419" t="str">
        <f>TEXT(Orders[[#This Row],[Order_Date]],"mmmm")</f>
        <v>February</v>
      </c>
      <c r="I419">
        <f>YEAR(Orders[[#This Row],[Order_Date]])</f>
        <v>2024</v>
      </c>
      <c r="J419" t="str">
        <f>"Q"&amp;ROUNDUP(MONTH(Orders[[#This Row],[Order_Date]])/3,0)</f>
        <v>Q1</v>
      </c>
      <c r="K419" s="2">
        <f>(Orders[[#This Row],[Profit]]/Orders[[#This Row],[Sales]])*100</f>
        <v>10.427893878760932</v>
      </c>
    </row>
    <row r="420" spans="1:11" x14ac:dyDescent="0.3">
      <c r="A420" t="s">
        <v>664</v>
      </c>
      <c r="B420" s="1">
        <v>45648</v>
      </c>
      <c r="C420" t="s">
        <v>120</v>
      </c>
      <c r="D420" t="s">
        <v>253</v>
      </c>
      <c r="E420">
        <v>5</v>
      </c>
      <c r="F420">
        <v>30125</v>
      </c>
      <c r="G420">
        <v>6222.59</v>
      </c>
      <c r="H420" t="str">
        <f>TEXT(Orders[[#This Row],[Order_Date]],"mmmm")</f>
        <v>December</v>
      </c>
      <c r="I420">
        <f>YEAR(Orders[[#This Row],[Order_Date]])</f>
        <v>2024</v>
      </c>
      <c r="J420" t="str">
        <f>"Q"&amp;ROUNDUP(MONTH(Orders[[#This Row],[Order_Date]])/3,0)</f>
        <v>Q4</v>
      </c>
      <c r="K420" s="2">
        <f>(Orders[[#This Row],[Profit]]/Orders[[#This Row],[Sales]])*100</f>
        <v>20.655900414937761</v>
      </c>
    </row>
    <row r="421" spans="1:11" x14ac:dyDescent="0.3">
      <c r="A421" t="s">
        <v>665</v>
      </c>
      <c r="B421" s="1">
        <v>45538</v>
      </c>
      <c r="C421" t="s">
        <v>68</v>
      </c>
      <c r="D421" t="s">
        <v>229</v>
      </c>
      <c r="E421">
        <v>4</v>
      </c>
      <c r="F421">
        <v>35492</v>
      </c>
      <c r="G421">
        <v>3744.7</v>
      </c>
      <c r="H421" t="str">
        <f>TEXT(Orders[[#This Row],[Order_Date]],"mmmm")</f>
        <v>September</v>
      </c>
      <c r="I421">
        <f>YEAR(Orders[[#This Row],[Order_Date]])</f>
        <v>2024</v>
      </c>
      <c r="J421" t="str">
        <f>"Q"&amp;ROUNDUP(MONTH(Orders[[#This Row],[Order_Date]])/3,0)</f>
        <v>Q3</v>
      </c>
      <c r="K421" s="2">
        <f>(Orders[[#This Row],[Profit]]/Orders[[#This Row],[Sales]])*100</f>
        <v>10.550828355685788</v>
      </c>
    </row>
    <row r="422" spans="1:11" x14ac:dyDescent="0.3">
      <c r="A422" t="s">
        <v>666</v>
      </c>
      <c r="B422" s="1">
        <v>45418</v>
      </c>
      <c r="C422" t="s">
        <v>198</v>
      </c>
      <c r="D422" t="s">
        <v>227</v>
      </c>
      <c r="E422">
        <v>1</v>
      </c>
      <c r="F422">
        <v>9394</v>
      </c>
      <c r="G422">
        <v>1918</v>
      </c>
      <c r="H422" t="str">
        <f>TEXT(Orders[[#This Row],[Order_Date]],"mmmm")</f>
        <v>May</v>
      </c>
      <c r="I422">
        <f>YEAR(Orders[[#This Row],[Order_Date]])</f>
        <v>2024</v>
      </c>
      <c r="J422" t="str">
        <f>"Q"&amp;ROUNDUP(MONTH(Orders[[#This Row],[Order_Date]])/3,0)</f>
        <v>Q2</v>
      </c>
      <c r="K422" s="2">
        <f>(Orders[[#This Row],[Profit]]/Orders[[#This Row],[Sales]])*100</f>
        <v>20.417287630402384</v>
      </c>
    </row>
    <row r="423" spans="1:11" x14ac:dyDescent="0.3">
      <c r="A423" t="s">
        <v>667</v>
      </c>
      <c r="B423" s="1">
        <v>45533</v>
      </c>
      <c r="C423" t="s">
        <v>39</v>
      </c>
      <c r="D423" t="s">
        <v>237</v>
      </c>
      <c r="E423">
        <v>1</v>
      </c>
      <c r="F423">
        <v>8626</v>
      </c>
      <c r="G423">
        <v>1451.67</v>
      </c>
      <c r="H423" t="str">
        <f>TEXT(Orders[[#This Row],[Order_Date]],"mmmm")</f>
        <v>August</v>
      </c>
      <c r="I423">
        <f>YEAR(Orders[[#This Row],[Order_Date]])</f>
        <v>2024</v>
      </c>
      <c r="J423" t="str">
        <f>"Q"&amp;ROUNDUP(MONTH(Orders[[#This Row],[Order_Date]])/3,0)</f>
        <v>Q3</v>
      </c>
      <c r="K423" s="2">
        <f>(Orders[[#This Row],[Profit]]/Orders[[#This Row],[Sales]])*100</f>
        <v>16.829005332715049</v>
      </c>
    </row>
    <row r="424" spans="1:11" x14ac:dyDescent="0.3">
      <c r="A424" t="s">
        <v>668</v>
      </c>
      <c r="B424" s="1">
        <v>45379</v>
      </c>
      <c r="C424" t="s">
        <v>164</v>
      </c>
      <c r="D424" t="s">
        <v>316</v>
      </c>
      <c r="E424">
        <v>3</v>
      </c>
      <c r="F424">
        <v>163152</v>
      </c>
      <c r="G424">
        <v>38486.769999999997</v>
      </c>
      <c r="H424" t="str">
        <f>TEXT(Orders[[#This Row],[Order_Date]],"mmmm")</f>
        <v>March</v>
      </c>
      <c r="I424">
        <f>YEAR(Orders[[#This Row],[Order_Date]])</f>
        <v>2024</v>
      </c>
      <c r="J424" t="str">
        <f>"Q"&amp;ROUNDUP(MONTH(Orders[[#This Row],[Order_Date]])/3,0)</f>
        <v>Q1</v>
      </c>
      <c r="K424" s="2">
        <f>(Orders[[#This Row],[Profit]]/Orders[[#This Row],[Sales]])*100</f>
        <v>23.58951775031872</v>
      </c>
    </row>
    <row r="425" spans="1:11" x14ac:dyDescent="0.3">
      <c r="A425" t="s">
        <v>669</v>
      </c>
      <c r="B425" s="1">
        <v>45574</v>
      </c>
      <c r="C425" t="s">
        <v>164</v>
      </c>
      <c r="D425" t="s">
        <v>316</v>
      </c>
      <c r="E425">
        <v>4</v>
      </c>
      <c r="F425">
        <v>217536</v>
      </c>
      <c r="G425">
        <v>17892</v>
      </c>
      <c r="H425" t="str">
        <f>TEXT(Orders[[#This Row],[Order_Date]],"mmmm")</f>
        <v>October</v>
      </c>
      <c r="I425">
        <f>YEAR(Orders[[#This Row],[Order_Date]])</f>
        <v>2024</v>
      </c>
      <c r="J425" t="str">
        <f>"Q"&amp;ROUNDUP(MONTH(Orders[[#This Row],[Order_Date]])/3,0)</f>
        <v>Q4</v>
      </c>
      <c r="K425" s="2">
        <f>(Orders[[#This Row],[Profit]]/Orders[[#This Row],[Sales]])*100</f>
        <v>8.2248455428067082</v>
      </c>
    </row>
    <row r="426" spans="1:11" x14ac:dyDescent="0.3">
      <c r="A426" t="s">
        <v>670</v>
      </c>
      <c r="B426" s="1">
        <v>45593</v>
      </c>
      <c r="C426" t="s">
        <v>204</v>
      </c>
      <c r="D426" t="s">
        <v>241</v>
      </c>
      <c r="E426">
        <v>4</v>
      </c>
      <c r="F426">
        <v>33448</v>
      </c>
      <c r="G426">
        <v>3616.32</v>
      </c>
      <c r="H426" t="str">
        <f>TEXT(Orders[[#This Row],[Order_Date]],"mmmm")</f>
        <v>October</v>
      </c>
      <c r="I426">
        <f>YEAR(Orders[[#This Row],[Order_Date]])</f>
        <v>2024</v>
      </c>
      <c r="J426" t="str">
        <f>"Q"&amp;ROUNDUP(MONTH(Orders[[#This Row],[Order_Date]])/3,0)</f>
        <v>Q4</v>
      </c>
      <c r="K426" s="2">
        <f>(Orders[[#This Row],[Profit]]/Orders[[#This Row],[Sales]])*100</f>
        <v>10.811767519732122</v>
      </c>
    </row>
    <row r="427" spans="1:11" x14ac:dyDescent="0.3">
      <c r="A427" t="s">
        <v>671</v>
      </c>
      <c r="B427" s="1">
        <v>45516</v>
      </c>
      <c r="C427" t="s">
        <v>114</v>
      </c>
      <c r="D427" t="s">
        <v>247</v>
      </c>
      <c r="E427">
        <v>3</v>
      </c>
      <c r="F427">
        <v>33468</v>
      </c>
      <c r="G427">
        <v>7352.03</v>
      </c>
      <c r="H427" t="str">
        <f>TEXT(Orders[[#This Row],[Order_Date]],"mmmm")</f>
        <v>August</v>
      </c>
      <c r="I427">
        <f>YEAR(Orders[[#This Row],[Order_Date]])</f>
        <v>2024</v>
      </c>
      <c r="J427" t="str">
        <f>"Q"&amp;ROUNDUP(MONTH(Orders[[#This Row],[Order_Date]])/3,0)</f>
        <v>Q3</v>
      </c>
      <c r="K427" s="2">
        <f>(Orders[[#This Row],[Profit]]/Orders[[#This Row],[Sales]])*100</f>
        <v>21.967341938568183</v>
      </c>
    </row>
    <row r="428" spans="1:11" x14ac:dyDescent="0.3">
      <c r="A428" t="s">
        <v>672</v>
      </c>
      <c r="B428" s="1">
        <v>45518</v>
      </c>
      <c r="C428" t="s">
        <v>80</v>
      </c>
      <c r="D428" t="s">
        <v>241</v>
      </c>
      <c r="E428">
        <v>3</v>
      </c>
      <c r="F428">
        <v>25086</v>
      </c>
      <c r="G428">
        <v>5637.45</v>
      </c>
      <c r="H428" t="str">
        <f>TEXT(Orders[[#This Row],[Order_Date]],"mmmm")</f>
        <v>August</v>
      </c>
      <c r="I428">
        <f>YEAR(Orders[[#This Row],[Order_Date]])</f>
        <v>2024</v>
      </c>
      <c r="J428" t="str">
        <f>"Q"&amp;ROUNDUP(MONTH(Orders[[#This Row],[Order_Date]])/3,0)</f>
        <v>Q3</v>
      </c>
      <c r="K428" s="2">
        <f>(Orders[[#This Row],[Profit]]/Orders[[#This Row],[Sales]])*100</f>
        <v>22.472494618512318</v>
      </c>
    </row>
    <row r="429" spans="1:11" x14ac:dyDescent="0.3">
      <c r="A429" t="s">
        <v>673</v>
      </c>
      <c r="B429" s="1">
        <v>45518</v>
      </c>
      <c r="C429" t="s">
        <v>214</v>
      </c>
      <c r="D429" t="s">
        <v>253</v>
      </c>
      <c r="E429">
        <v>2</v>
      </c>
      <c r="F429">
        <v>12050</v>
      </c>
      <c r="G429">
        <v>1294.58</v>
      </c>
      <c r="H429" t="str">
        <f>TEXT(Orders[[#This Row],[Order_Date]],"mmmm")</f>
        <v>August</v>
      </c>
      <c r="I429">
        <f>YEAR(Orders[[#This Row],[Order_Date]])</f>
        <v>2024</v>
      </c>
      <c r="J429" t="str">
        <f>"Q"&amp;ROUNDUP(MONTH(Orders[[#This Row],[Order_Date]])/3,0)</f>
        <v>Q3</v>
      </c>
      <c r="K429" s="2">
        <f>(Orders[[#This Row],[Profit]]/Orders[[#This Row],[Sales]])*100</f>
        <v>10.743402489626556</v>
      </c>
    </row>
    <row r="430" spans="1:11" x14ac:dyDescent="0.3">
      <c r="A430" t="s">
        <v>674</v>
      </c>
      <c r="B430" s="1">
        <v>45380</v>
      </c>
      <c r="C430" t="s">
        <v>27</v>
      </c>
      <c r="D430" t="s">
        <v>253</v>
      </c>
      <c r="E430">
        <v>5</v>
      </c>
      <c r="F430">
        <v>30125</v>
      </c>
      <c r="G430">
        <v>4136.8900000000003</v>
      </c>
      <c r="H430" t="str">
        <f>TEXT(Orders[[#This Row],[Order_Date]],"mmmm")</f>
        <v>March</v>
      </c>
      <c r="I430">
        <f>YEAR(Orders[[#This Row],[Order_Date]])</f>
        <v>2024</v>
      </c>
      <c r="J430" t="str">
        <f>"Q"&amp;ROUNDUP(MONTH(Orders[[#This Row],[Order_Date]])/3,0)</f>
        <v>Q1</v>
      </c>
      <c r="K430" s="2">
        <f>(Orders[[#This Row],[Profit]]/Orders[[#This Row],[Sales]])*100</f>
        <v>13.732414937759337</v>
      </c>
    </row>
    <row r="431" spans="1:11" x14ac:dyDescent="0.3">
      <c r="A431" t="s">
        <v>675</v>
      </c>
      <c r="B431" s="1">
        <v>45411</v>
      </c>
      <c r="C431" t="s">
        <v>164</v>
      </c>
      <c r="D431" t="s">
        <v>316</v>
      </c>
      <c r="E431">
        <v>4</v>
      </c>
      <c r="F431">
        <v>217536</v>
      </c>
      <c r="G431">
        <v>17712.68</v>
      </c>
      <c r="H431" t="str">
        <f>TEXT(Orders[[#This Row],[Order_Date]],"mmmm")</f>
        <v>April</v>
      </c>
      <c r="I431">
        <f>YEAR(Orders[[#This Row],[Order_Date]])</f>
        <v>2024</v>
      </c>
      <c r="J431" t="str">
        <f>"Q"&amp;ROUNDUP(MONTH(Orders[[#This Row],[Order_Date]])/3,0)</f>
        <v>Q2</v>
      </c>
      <c r="K431" s="2">
        <f>(Orders[[#This Row],[Profit]]/Orders[[#This Row],[Sales]])*100</f>
        <v>8.1424132097675788</v>
      </c>
    </row>
    <row r="432" spans="1:11" x14ac:dyDescent="0.3">
      <c r="A432" t="s">
        <v>676</v>
      </c>
      <c r="B432" s="1">
        <v>45552</v>
      </c>
      <c r="C432" t="s">
        <v>176</v>
      </c>
      <c r="D432" t="s">
        <v>247</v>
      </c>
      <c r="E432">
        <v>4</v>
      </c>
      <c r="F432">
        <v>44624</v>
      </c>
      <c r="G432">
        <v>8534.48</v>
      </c>
      <c r="H432" t="str">
        <f>TEXT(Orders[[#This Row],[Order_Date]],"mmmm")</f>
        <v>September</v>
      </c>
      <c r="I432">
        <f>YEAR(Orders[[#This Row],[Order_Date]])</f>
        <v>2024</v>
      </c>
      <c r="J432" t="str">
        <f>"Q"&amp;ROUNDUP(MONTH(Orders[[#This Row],[Order_Date]])/3,0)</f>
        <v>Q3</v>
      </c>
      <c r="K432" s="2">
        <f>(Orders[[#This Row],[Profit]]/Orders[[#This Row],[Sales]])*100</f>
        <v>19.125313732520617</v>
      </c>
    </row>
    <row r="433" spans="1:11" x14ac:dyDescent="0.3">
      <c r="A433" t="s">
        <v>677</v>
      </c>
      <c r="B433" s="1">
        <v>45426</v>
      </c>
      <c r="C433" t="s">
        <v>72</v>
      </c>
      <c r="D433" t="s">
        <v>229</v>
      </c>
      <c r="E433">
        <v>4</v>
      </c>
      <c r="F433">
        <v>35492</v>
      </c>
      <c r="G433">
        <v>3583.56</v>
      </c>
      <c r="H433" t="str">
        <f>TEXT(Orders[[#This Row],[Order_Date]],"mmmm")</f>
        <v>May</v>
      </c>
      <c r="I433">
        <f>YEAR(Orders[[#This Row],[Order_Date]])</f>
        <v>2024</v>
      </c>
      <c r="J433" t="str">
        <f>"Q"&amp;ROUNDUP(MONTH(Orders[[#This Row],[Order_Date]])/3,0)</f>
        <v>Q2</v>
      </c>
      <c r="K433" s="2">
        <f>(Orders[[#This Row],[Profit]]/Orders[[#This Row],[Sales]])*100</f>
        <v>10.09681054885608</v>
      </c>
    </row>
    <row r="434" spans="1:11" x14ac:dyDescent="0.3">
      <c r="A434" t="s">
        <v>678</v>
      </c>
      <c r="B434" s="1">
        <v>45608</v>
      </c>
      <c r="C434" t="s">
        <v>54</v>
      </c>
      <c r="D434" t="s">
        <v>257</v>
      </c>
      <c r="E434">
        <v>3</v>
      </c>
      <c r="F434">
        <v>20241</v>
      </c>
      <c r="G434">
        <v>2072.25</v>
      </c>
      <c r="H434" t="str">
        <f>TEXT(Orders[[#This Row],[Order_Date]],"mmmm")</f>
        <v>November</v>
      </c>
      <c r="I434">
        <f>YEAR(Orders[[#This Row],[Order_Date]])</f>
        <v>2024</v>
      </c>
      <c r="J434" t="str">
        <f>"Q"&amp;ROUNDUP(MONTH(Orders[[#This Row],[Order_Date]])/3,0)</f>
        <v>Q4</v>
      </c>
      <c r="K434" s="2">
        <f>(Orders[[#This Row],[Profit]]/Orders[[#This Row],[Sales]])*100</f>
        <v>10.237883503779457</v>
      </c>
    </row>
    <row r="435" spans="1:11" x14ac:dyDescent="0.3">
      <c r="A435" t="s">
        <v>679</v>
      </c>
      <c r="B435" s="1">
        <v>45510</v>
      </c>
      <c r="C435" t="s">
        <v>154</v>
      </c>
      <c r="D435" t="s">
        <v>279</v>
      </c>
      <c r="E435">
        <v>2</v>
      </c>
      <c r="F435">
        <v>12440</v>
      </c>
      <c r="G435">
        <v>2167.62</v>
      </c>
      <c r="H435" t="str">
        <f>TEXT(Orders[[#This Row],[Order_Date]],"mmmm")</f>
        <v>August</v>
      </c>
      <c r="I435">
        <f>YEAR(Orders[[#This Row],[Order_Date]])</f>
        <v>2024</v>
      </c>
      <c r="J435" t="str">
        <f>"Q"&amp;ROUNDUP(MONTH(Orders[[#This Row],[Order_Date]])/3,0)</f>
        <v>Q3</v>
      </c>
      <c r="K435" s="2">
        <f>(Orders[[#This Row],[Profit]]/Orders[[#This Row],[Sales]])*100</f>
        <v>17.424598070739549</v>
      </c>
    </row>
    <row r="436" spans="1:11" x14ac:dyDescent="0.3">
      <c r="A436" t="s">
        <v>680</v>
      </c>
      <c r="B436" s="1">
        <v>45378</v>
      </c>
      <c r="C436" t="s">
        <v>138</v>
      </c>
      <c r="D436" t="s">
        <v>266</v>
      </c>
      <c r="E436">
        <v>5</v>
      </c>
      <c r="F436">
        <v>56175</v>
      </c>
      <c r="G436">
        <v>9766.65</v>
      </c>
      <c r="H436" t="str">
        <f>TEXT(Orders[[#This Row],[Order_Date]],"mmmm")</f>
        <v>March</v>
      </c>
      <c r="I436">
        <f>YEAR(Orders[[#This Row],[Order_Date]])</f>
        <v>2024</v>
      </c>
      <c r="J436" t="str">
        <f>"Q"&amp;ROUNDUP(MONTH(Orders[[#This Row],[Order_Date]])/3,0)</f>
        <v>Q1</v>
      </c>
      <c r="K436" s="2">
        <f>(Orders[[#This Row],[Profit]]/Orders[[#This Row],[Sales]])*100</f>
        <v>17.38611481975968</v>
      </c>
    </row>
    <row r="437" spans="1:11" x14ac:dyDescent="0.3">
      <c r="A437" t="s">
        <v>681</v>
      </c>
      <c r="B437" s="1">
        <v>45595</v>
      </c>
      <c r="C437" t="s">
        <v>152</v>
      </c>
      <c r="D437" t="s">
        <v>235</v>
      </c>
      <c r="E437">
        <v>5</v>
      </c>
      <c r="F437">
        <v>56710</v>
      </c>
      <c r="G437">
        <v>13745.3</v>
      </c>
      <c r="H437" t="str">
        <f>TEXT(Orders[[#This Row],[Order_Date]],"mmmm")</f>
        <v>October</v>
      </c>
      <c r="I437">
        <f>YEAR(Orders[[#This Row],[Order_Date]])</f>
        <v>2024</v>
      </c>
      <c r="J437" t="str">
        <f>"Q"&amp;ROUNDUP(MONTH(Orders[[#This Row],[Order_Date]])/3,0)</f>
        <v>Q4</v>
      </c>
      <c r="K437" s="2">
        <f>(Orders[[#This Row],[Profit]]/Orders[[#This Row],[Sales]])*100</f>
        <v>24.237876917651207</v>
      </c>
    </row>
    <row r="438" spans="1:11" x14ac:dyDescent="0.3">
      <c r="A438" t="s">
        <v>682</v>
      </c>
      <c r="B438" s="1">
        <v>45466</v>
      </c>
      <c r="C438" t="s">
        <v>72</v>
      </c>
      <c r="D438" t="s">
        <v>279</v>
      </c>
      <c r="E438">
        <v>2</v>
      </c>
      <c r="F438">
        <v>12440</v>
      </c>
      <c r="G438">
        <v>2437.96</v>
      </c>
      <c r="H438" t="str">
        <f>TEXT(Orders[[#This Row],[Order_Date]],"mmmm")</f>
        <v>June</v>
      </c>
      <c r="I438">
        <f>YEAR(Orders[[#This Row],[Order_Date]])</f>
        <v>2024</v>
      </c>
      <c r="J438" t="str">
        <f>"Q"&amp;ROUNDUP(MONTH(Orders[[#This Row],[Order_Date]])/3,0)</f>
        <v>Q2</v>
      </c>
      <c r="K438" s="2">
        <f>(Orders[[#This Row],[Profit]]/Orders[[#This Row],[Sales]])*100</f>
        <v>19.597749196141478</v>
      </c>
    </row>
    <row r="439" spans="1:11" x14ac:dyDescent="0.3">
      <c r="A439" t="s">
        <v>683</v>
      </c>
      <c r="B439" s="1">
        <v>45554</v>
      </c>
      <c r="C439" t="s">
        <v>49</v>
      </c>
      <c r="D439" t="s">
        <v>283</v>
      </c>
      <c r="E439">
        <v>4</v>
      </c>
      <c r="F439">
        <v>216748</v>
      </c>
      <c r="G439">
        <v>43619.79</v>
      </c>
      <c r="H439" t="str">
        <f>TEXT(Orders[[#This Row],[Order_Date]],"mmmm")</f>
        <v>September</v>
      </c>
      <c r="I439">
        <f>YEAR(Orders[[#This Row],[Order_Date]])</f>
        <v>2024</v>
      </c>
      <c r="J439" t="str">
        <f>"Q"&amp;ROUNDUP(MONTH(Orders[[#This Row],[Order_Date]])/3,0)</f>
        <v>Q3</v>
      </c>
      <c r="K439" s="2">
        <f>(Orders[[#This Row],[Profit]]/Orders[[#This Row],[Sales]])*100</f>
        <v>20.124656282872273</v>
      </c>
    </row>
    <row r="440" spans="1:11" x14ac:dyDescent="0.3">
      <c r="A440" t="s">
        <v>684</v>
      </c>
      <c r="B440" s="1">
        <v>45522</v>
      </c>
      <c r="C440" t="s">
        <v>208</v>
      </c>
      <c r="D440" t="s">
        <v>257</v>
      </c>
      <c r="E440">
        <v>5</v>
      </c>
      <c r="F440">
        <v>33735</v>
      </c>
      <c r="G440">
        <v>7788.28</v>
      </c>
      <c r="H440" t="str">
        <f>TEXT(Orders[[#This Row],[Order_Date]],"mmmm")</f>
        <v>August</v>
      </c>
      <c r="I440">
        <f>YEAR(Orders[[#This Row],[Order_Date]])</f>
        <v>2024</v>
      </c>
      <c r="J440" t="str">
        <f>"Q"&amp;ROUNDUP(MONTH(Orders[[#This Row],[Order_Date]])/3,0)</f>
        <v>Q3</v>
      </c>
      <c r="K440" s="2">
        <f>(Orders[[#This Row],[Profit]]/Orders[[#This Row],[Sales]])*100</f>
        <v>23.08664591670372</v>
      </c>
    </row>
    <row r="441" spans="1:11" x14ac:dyDescent="0.3">
      <c r="A441" t="s">
        <v>685</v>
      </c>
      <c r="B441" s="1">
        <v>45319</v>
      </c>
      <c r="C441" t="s">
        <v>156</v>
      </c>
      <c r="D441" t="s">
        <v>266</v>
      </c>
      <c r="E441">
        <v>3</v>
      </c>
      <c r="F441">
        <v>33705</v>
      </c>
      <c r="G441">
        <v>7482.56</v>
      </c>
      <c r="H441" t="str">
        <f>TEXT(Orders[[#This Row],[Order_Date]],"mmmm")</f>
        <v>January</v>
      </c>
      <c r="I441">
        <f>YEAR(Orders[[#This Row],[Order_Date]])</f>
        <v>2024</v>
      </c>
      <c r="J441" t="str">
        <f>"Q"&amp;ROUNDUP(MONTH(Orders[[#This Row],[Order_Date]])/3,0)</f>
        <v>Q1</v>
      </c>
      <c r="K441" s="2">
        <f>(Orders[[#This Row],[Profit]]/Orders[[#This Row],[Sales]])*100</f>
        <v>22.20014834594274</v>
      </c>
    </row>
    <row r="442" spans="1:11" x14ac:dyDescent="0.3">
      <c r="A442" t="s">
        <v>686</v>
      </c>
      <c r="B442" s="1">
        <v>45362</v>
      </c>
      <c r="C442" t="s">
        <v>39</v>
      </c>
      <c r="D442" t="s">
        <v>239</v>
      </c>
      <c r="E442">
        <v>1</v>
      </c>
      <c r="F442">
        <v>25159</v>
      </c>
      <c r="G442">
        <v>4314.8</v>
      </c>
      <c r="H442" t="str">
        <f>TEXT(Orders[[#This Row],[Order_Date]],"mmmm")</f>
        <v>March</v>
      </c>
      <c r="I442">
        <f>YEAR(Orders[[#This Row],[Order_Date]])</f>
        <v>2024</v>
      </c>
      <c r="J442" t="str">
        <f>"Q"&amp;ROUNDUP(MONTH(Orders[[#This Row],[Order_Date]])/3,0)</f>
        <v>Q1</v>
      </c>
      <c r="K442" s="2">
        <f>(Orders[[#This Row],[Profit]]/Orders[[#This Row],[Sales]])*100</f>
        <v>17.150125203704441</v>
      </c>
    </row>
    <row r="443" spans="1:11" x14ac:dyDescent="0.3">
      <c r="A443" t="s">
        <v>687</v>
      </c>
      <c r="B443" s="1">
        <v>45559</v>
      </c>
      <c r="C443" t="s">
        <v>132</v>
      </c>
      <c r="D443" t="s">
        <v>229</v>
      </c>
      <c r="E443">
        <v>2</v>
      </c>
      <c r="F443">
        <v>17746</v>
      </c>
      <c r="G443">
        <v>2852.76</v>
      </c>
      <c r="H443" t="str">
        <f>TEXT(Orders[[#This Row],[Order_Date]],"mmmm")</f>
        <v>September</v>
      </c>
      <c r="I443">
        <f>YEAR(Orders[[#This Row],[Order_Date]])</f>
        <v>2024</v>
      </c>
      <c r="J443" t="str">
        <f>"Q"&amp;ROUNDUP(MONTH(Orders[[#This Row],[Order_Date]])/3,0)</f>
        <v>Q3</v>
      </c>
      <c r="K443" s="2">
        <f>(Orders[[#This Row],[Profit]]/Orders[[#This Row],[Sales]])*100</f>
        <v>16.075509974078667</v>
      </c>
    </row>
    <row r="444" spans="1:11" x14ac:dyDescent="0.3">
      <c r="A444" t="s">
        <v>688</v>
      </c>
      <c r="B444" s="1">
        <v>45594</v>
      </c>
      <c r="C444" t="s">
        <v>170</v>
      </c>
      <c r="D444" t="s">
        <v>247</v>
      </c>
      <c r="E444">
        <v>5</v>
      </c>
      <c r="F444">
        <v>55780</v>
      </c>
      <c r="G444">
        <v>6301.25</v>
      </c>
      <c r="H444" t="str">
        <f>TEXT(Orders[[#This Row],[Order_Date]],"mmmm")</f>
        <v>October</v>
      </c>
      <c r="I444">
        <f>YEAR(Orders[[#This Row],[Order_Date]])</f>
        <v>2024</v>
      </c>
      <c r="J444" t="str">
        <f>"Q"&amp;ROUNDUP(MONTH(Orders[[#This Row],[Order_Date]])/3,0)</f>
        <v>Q4</v>
      </c>
      <c r="K444" s="2">
        <f>(Orders[[#This Row],[Profit]]/Orders[[#This Row],[Sales]])*100</f>
        <v>11.29661168877734</v>
      </c>
    </row>
    <row r="445" spans="1:11" x14ac:dyDescent="0.3">
      <c r="A445" t="s">
        <v>689</v>
      </c>
      <c r="B445" s="1">
        <v>45470</v>
      </c>
      <c r="C445" t="s">
        <v>134</v>
      </c>
      <c r="D445" t="s">
        <v>316</v>
      </c>
      <c r="E445">
        <v>4</v>
      </c>
      <c r="F445">
        <v>217536</v>
      </c>
      <c r="G445">
        <v>28154.41</v>
      </c>
      <c r="H445" t="str">
        <f>TEXT(Orders[[#This Row],[Order_Date]],"mmmm")</f>
        <v>June</v>
      </c>
      <c r="I445">
        <f>YEAR(Orders[[#This Row],[Order_Date]])</f>
        <v>2024</v>
      </c>
      <c r="J445" t="str">
        <f>"Q"&amp;ROUNDUP(MONTH(Orders[[#This Row],[Order_Date]])/3,0)</f>
        <v>Q2</v>
      </c>
      <c r="K445" s="2">
        <f>(Orders[[#This Row],[Profit]]/Orders[[#This Row],[Sales]])*100</f>
        <v>12.942414129155633</v>
      </c>
    </row>
    <row r="446" spans="1:11" x14ac:dyDescent="0.3">
      <c r="A446" t="s">
        <v>690</v>
      </c>
      <c r="B446" s="1">
        <v>45306</v>
      </c>
      <c r="C446" t="s">
        <v>218</v>
      </c>
      <c r="D446" t="s">
        <v>257</v>
      </c>
      <c r="E446">
        <v>5</v>
      </c>
      <c r="F446">
        <v>33735</v>
      </c>
      <c r="G446">
        <v>4266.07</v>
      </c>
      <c r="H446" t="str">
        <f>TEXT(Orders[[#This Row],[Order_Date]],"mmmm")</f>
        <v>January</v>
      </c>
      <c r="I446">
        <f>YEAR(Orders[[#This Row],[Order_Date]])</f>
        <v>2024</v>
      </c>
      <c r="J446" t="str">
        <f>"Q"&amp;ROUNDUP(MONTH(Orders[[#This Row],[Order_Date]])/3,0)</f>
        <v>Q1</v>
      </c>
      <c r="K446" s="2">
        <f>(Orders[[#This Row],[Profit]]/Orders[[#This Row],[Sales]])*100</f>
        <v>12.645827775307545</v>
      </c>
    </row>
    <row r="447" spans="1:11" x14ac:dyDescent="0.3">
      <c r="A447" t="s">
        <v>691</v>
      </c>
      <c r="B447" s="1">
        <v>45573</v>
      </c>
      <c r="C447" t="s">
        <v>162</v>
      </c>
      <c r="D447" t="s">
        <v>247</v>
      </c>
      <c r="E447">
        <v>1</v>
      </c>
      <c r="F447">
        <v>11156</v>
      </c>
      <c r="G447">
        <v>2742.36</v>
      </c>
      <c r="H447" t="str">
        <f>TEXT(Orders[[#This Row],[Order_Date]],"mmmm")</f>
        <v>October</v>
      </c>
      <c r="I447">
        <f>YEAR(Orders[[#This Row],[Order_Date]])</f>
        <v>2024</v>
      </c>
      <c r="J447" t="str">
        <f>"Q"&amp;ROUNDUP(MONTH(Orders[[#This Row],[Order_Date]])/3,0)</f>
        <v>Q4</v>
      </c>
      <c r="K447" s="2">
        <f>(Orders[[#This Row],[Profit]]/Orders[[#This Row],[Sales]])*100</f>
        <v>24.581929006812477</v>
      </c>
    </row>
    <row r="448" spans="1:11" x14ac:dyDescent="0.3">
      <c r="A448" t="s">
        <v>692</v>
      </c>
      <c r="B448" s="1">
        <v>45344</v>
      </c>
      <c r="C448" t="s">
        <v>78</v>
      </c>
      <c r="D448" t="s">
        <v>266</v>
      </c>
      <c r="E448">
        <v>3</v>
      </c>
      <c r="F448">
        <v>33705</v>
      </c>
      <c r="G448">
        <v>5226.6899999999996</v>
      </c>
      <c r="H448" t="str">
        <f>TEXT(Orders[[#This Row],[Order_Date]],"mmmm")</f>
        <v>February</v>
      </c>
      <c r="I448">
        <f>YEAR(Orders[[#This Row],[Order_Date]])</f>
        <v>2024</v>
      </c>
      <c r="J448" t="str">
        <f>"Q"&amp;ROUNDUP(MONTH(Orders[[#This Row],[Order_Date]])/3,0)</f>
        <v>Q1</v>
      </c>
      <c r="K448" s="2">
        <f>(Orders[[#This Row],[Profit]]/Orders[[#This Row],[Sales]])*100</f>
        <v>15.507165109034265</v>
      </c>
    </row>
    <row r="449" spans="1:11" x14ac:dyDescent="0.3">
      <c r="A449" t="s">
        <v>693</v>
      </c>
      <c r="B449" s="1">
        <v>45501</v>
      </c>
      <c r="C449" t="s">
        <v>118</v>
      </c>
      <c r="D449" t="s">
        <v>247</v>
      </c>
      <c r="E449">
        <v>4</v>
      </c>
      <c r="F449">
        <v>44624</v>
      </c>
      <c r="G449">
        <v>5680.36</v>
      </c>
      <c r="H449" t="str">
        <f>TEXT(Orders[[#This Row],[Order_Date]],"mmmm")</f>
        <v>July</v>
      </c>
      <c r="I449">
        <f>YEAR(Orders[[#This Row],[Order_Date]])</f>
        <v>2024</v>
      </c>
      <c r="J449" t="str">
        <f>"Q"&amp;ROUNDUP(MONTH(Orders[[#This Row],[Order_Date]])/3,0)</f>
        <v>Q3</v>
      </c>
      <c r="K449" s="2">
        <f>(Orders[[#This Row],[Profit]]/Orders[[#This Row],[Sales]])*100</f>
        <v>12.72938329150233</v>
      </c>
    </row>
    <row r="450" spans="1:11" x14ac:dyDescent="0.3">
      <c r="A450" t="s">
        <v>694</v>
      </c>
      <c r="B450" s="1">
        <v>45497</v>
      </c>
      <c r="C450" t="s">
        <v>138</v>
      </c>
      <c r="D450" t="s">
        <v>233</v>
      </c>
      <c r="E450">
        <v>5</v>
      </c>
      <c r="F450">
        <v>278475</v>
      </c>
      <c r="G450">
        <v>26824.080000000002</v>
      </c>
      <c r="H450" t="str">
        <f>TEXT(Orders[[#This Row],[Order_Date]],"mmmm")</f>
        <v>July</v>
      </c>
      <c r="I450">
        <f>YEAR(Orders[[#This Row],[Order_Date]])</f>
        <v>2024</v>
      </c>
      <c r="J450" t="str">
        <f>"Q"&amp;ROUNDUP(MONTH(Orders[[#This Row],[Order_Date]])/3,0)</f>
        <v>Q3</v>
      </c>
      <c r="K450" s="2">
        <f>(Orders[[#This Row],[Profit]]/Orders[[#This Row],[Sales]])*100</f>
        <v>9.6324912469701047</v>
      </c>
    </row>
    <row r="451" spans="1:11" x14ac:dyDescent="0.3">
      <c r="A451" t="s">
        <v>695</v>
      </c>
      <c r="B451" s="1">
        <v>45536</v>
      </c>
      <c r="C451" t="s">
        <v>158</v>
      </c>
      <c r="D451" t="s">
        <v>283</v>
      </c>
      <c r="E451">
        <v>5</v>
      </c>
      <c r="F451">
        <v>270935</v>
      </c>
      <c r="G451">
        <v>55802.239999999998</v>
      </c>
      <c r="H451" t="str">
        <f>TEXT(Orders[[#This Row],[Order_Date]],"mmmm")</f>
        <v>September</v>
      </c>
      <c r="I451">
        <f>YEAR(Orders[[#This Row],[Order_Date]])</f>
        <v>2024</v>
      </c>
      <c r="J451" t="str">
        <f>"Q"&amp;ROUNDUP(MONTH(Orders[[#This Row],[Order_Date]])/3,0)</f>
        <v>Q3</v>
      </c>
      <c r="K451" s="2">
        <f>(Orders[[#This Row],[Profit]]/Orders[[#This Row],[Sales]])*100</f>
        <v>20.596172513702548</v>
      </c>
    </row>
    <row r="452" spans="1:11" x14ac:dyDescent="0.3">
      <c r="A452" t="s">
        <v>696</v>
      </c>
      <c r="B452" s="1">
        <v>45362</v>
      </c>
      <c r="C452" t="s">
        <v>148</v>
      </c>
      <c r="D452" t="s">
        <v>260</v>
      </c>
      <c r="E452">
        <v>3</v>
      </c>
      <c r="F452">
        <v>167850</v>
      </c>
      <c r="G452">
        <v>17592.75</v>
      </c>
      <c r="H452" t="str">
        <f>TEXT(Orders[[#This Row],[Order_Date]],"mmmm")</f>
        <v>March</v>
      </c>
      <c r="I452">
        <f>YEAR(Orders[[#This Row],[Order_Date]])</f>
        <v>2024</v>
      </c>
      <c r="J452" t="str">
        <f>"Q"&amp;ROUNDUP(MONTH(Orders[[#This Row],[Order_Date]])/3,0)</f>
        <v>Q1</v>
      </c>
      <c r="K452" s="2">
        <f>(Orders[[#This Row],[Profit]]/Orders[[#This Row],[Sales]])*100</f>
        <v>10.481233243967829</v>
      </c>
    </row>
    <row r="453" spans="1:11" x14ac:dyDescent="0.3">
      <c r="A453" t="s">
        <v>697</v>
      </c>
      <c r="B453" s="1">
        <v>45402</v>
      </c>
      <c r="C453" t="s">
        <v>176</v>
      </c>
      <c r="D453" t="s">
        <v>263</v>
      </c>
      <c r="E453">
        <v>2</v>
      </c>
      <c r="F453">
        <v>14310</v>
      </c>
      <c r="G453">
        <v>3059.52</v>
      </c>
      <c r="H453" t="str">
        <f>TEXT(Orders[[#This Row],[Order_Date]],"mmmm")</f>
        <v>April</v>
      </c>
      <c r="I453">
        <f>YEAR(Orders[[#This Row],[Order_Date]])</f>
        <v>2024</v>
      </c>
      <c r="J453" t="str">
        <f>"Q"&amp;ROUNDUP(MONTH(Orders[[#This Row],[Order_Date]])/3,0)</f>
        <v>Q2</v>
      </c>
      <c r="K453" s="2">
        <f>(Orders[[#This Row],[Profit]]/Orders[[#This Row],[Sales]])*100</f>
        <v>21.380293501048218</v>
      </c>
    </row>
    <row r="454" spans="1:11" x14ac:dyDescent="0.3">
      <c r="A454" t="s">
        <v>698</v>
      </c>
      <c r="B454" s="1">
        <v>45509</v>
      </c>
      <c r="C454" t="s">
        <v>136</v>
      </c>
      <c r="D454" t="s">
        <v>260</v>
      </c>
      <c r="E454">
        <v>1</v>
      </c>
      <c r="F454">
        <v>55950</v>
      </c>
      <c r="G454">
        <v>11126.08</v>
      </c>
      <c r="H454" t="str">
        <f>TEXT(Orders[[#This Row],[Order_Date]],"mmmm")</f>
        <v>August</v>
      </c>
      <c r="I454">
        <f>YEAR(Orders[[#This Row],[Order_Date]])</f>
        <v>2024</v>
      </c>
      <c r="J454" t="str">
        <f>"Q"&amp;ROUNDUP(MONTH(Orders[[#This Row],[Order_Date]])/3,0)</f>
        <v>Q3</v>
      </c>
      <c r="K454" s="2">
        <f>(Orders[[#This Row],[Profit]]/Orders[[#This Row],[Sales]])*100</f>
        <v>19.885755138516533</v>
      </c>
    </row>
    <row r="455" spans="1:11" x14ac:dyDescent="0.3">
      <c r="A455" t="s">
        <v>699</v>
      </c>
      <c r="B455" s="1">
        <v>45578</v>
      </c>
      <c r="C455" t="s">
        <v>29</v>
      </c>
      <c r="D455" t="s">
        <v>266</v>
      </c>
      <c r="E455">
        <v>2</v>
      </c>
      <c r="F455">
        <v>22470</v>
      </c>
      <c r="G455">
        <v>5576.85</v>
      </c>
      <c r="H455" t="str">
        <f>TEXT(Orders[[#This Row],[Order_Date]],"mmmm")</f>
        <v>October</v>
      </c>
      <c r="I455">
        <f>YEAR(Orders[[#This Row],[Order_Date]])</f>
        <v>2024</v>
      </c>
      <c r="J455" t="str">
        <f>"Q"&amp;ROUNDUP(MONTH(Orders[[#This Row],[Order_Date]])/3,0)</f>
        <v>Q4</v>
      </c>
      <c r="K455" s="2">
        <f>(Orders[[#This Row],[Profit]]/Orders[[#This Row],[Sales]])*100</f>
        <v>24.81909212283044</v>
      </c>
    </row>
    <row r="456" spans="1:11" x14ac:dyDescent="0.3">
      <c r="A456" t="s">
        <v>700</v>
      </c>
      <c r="B456" s="1">
        <v>45541</v>
      </c>
      <c r="C456" t="s">
        <v>102</v>
      </c>
      <c r="D456" t="s">
        <v>231</v>
      </c>
      <c r="E456">
        <v>4</v>
      </c>
      <c r="F456">
        <v>219748</v>
      </c>
      <c r="G456">
        <v>18108.919999999998</v>
      </c>
      <c r="H456" t="str">
        <f>TEXT(Orders[[#This Row],[Order_Date]],"mmmm")</f>
        <v>September</v>
      </c>
      <c r="I456">
        <f>YEAR(Orders[[#This Row],[Order_Date]])</f>
        <v>2024</v>
      </c>
      <c r="J456" t="str">
        <f>"Q"&amp;ROUNDUP(MONTH(Orders[[#This Row],[Order_Date]])/3,0)</f>
        <v>Q3</v>
      </c>
      <c r="K456" s="2">
        <f>(Orders[[#This Row],[Profit]]/Orders[[#This Row],[Sales]])*100</f>
        <v>8.2407666963976922</v>
      </c>
    </row>
    <row r="457" spans="1:11" x14ac:dyDescent="0.3">
      <c r="A457" t="s">
        <v>701</v>
      </c>
      <c r="B457" s="1">
        <v>45447</v>
      </c>
      <c r="C457" t="s">
        <v>202</v>
      </c>
      <c r="D457" t="s">
        <v>266</v>
      </c>
      <c r="E457">
        <v>3</v>
      </c>
      <c r="F457">
        <v>33705</v>
      </c>
      <c r="G457">
        <v>6941.06</v>
      </c>
      <c r="H457" t="str">
        <f>TEXT(Orders[[#This Row],[Order_Date]],"mmmm")</f>
        <v>June</v>
      </c>
      <c r="I457">
        <f>YEAR(Orders[[#This Row],[Order_Date]])</f>
        <v>2024</v>
      </c>
      <c r="J457" t="str">
        <f>"Q"&amp;ROUNDUP(MONTH(Orders[[#This Row],[Order_Date]])/3,0)</f>
        <v>Q2</v>
      </c>
      <c r="K457" s="2">
        <f>(Orders[[#This Row],[Profit]]/Orders[[#This Row],[Sales]])*100</f>
        <v>20.59356178608515</v>
      </c>
    </row>
    <row r="458" spans="1:11" x14ac:dyDescent="0.3">
      <c r="A458" t="s">
        <v>702</v>
      </c>
      <c r="B458" s="1">
        <v>45440</v>
      </c>
      <c r="C458" t="s">
        <v>184</v>
      </c>
      <c r="D458" t="s">
        <v>245</v>
      </c>
      <c r="E458">
        <v>4</v>
      </c>
      <c r="F458">
        <v>96944</v>
      </c>
      <c r="G458">
        <v>12916.32</v>
      </c>
      <c r="H458" t="str">
        <f>TEXT(Orders[[#This Row],[Order_Date]],"mmmm")</f>
        <v>May</v>
      </c>
      <c r="I458">
        <f>YEAR(Orders[[#This Row],[Order_Date]])</f>
        <v>2024</v>
      </c>
      <c r="J458" t="str">
        <f>"Q"&amp;ROUNDUP(MONTH(Orders[[#This Row],[Order_Date]])/3,0)</f>
        <v>Q2</v>
      </c>
      <c r="K458" s="2">
        <f>(Orders[[#This Row],[Profit]]/Orders[[#This Row],[Sales]])*100</f>
        <v>13.323485723716786</v>
      </c>
    </row>
    <row r="459" spans="1:11" x14ac:dyDescent="0.3">
      <c r="A459" t="s">
        <v>703</v>
      </c>
      <c r="B459" s="1">
        <v>45370</v>
      </c>
      <c r="C459" t="s">
        <v>64</v>
      </c>
      <c r="D459" t="s">
        <v>239</v>
      </c>
      <c r="E459">
        <v>4</v>
      </c>
      <c r="F459">
        <v>100636</v>
      </c>
      <c r="G459">
        <v>11125.51</v>
      </c>
      <c r="H459" t="str">
        <f>TEXT(Orders[[#This Row],[Order_Date]],"mmmm")</f>
        <v>March</v>
      </c>
      <c r="I459">
        <f>YEAR(Orders[[#This Row],[Order_Date]])</f>
        <v>2024</v>
      </c>
      <c r="J459" t="str">
        <f>"Q"&amp;ROUNDUP(MONTH(Orders[[#This Row],[Order_Date]])/3,0)</f>
        <v>Q1</v>
      </c>
      <c r="K459" s="2">
        <f>(Orders[[#This Row],[Profit]]/Orders[[#This Row],[Sales]])*100</f>
        <v>11.055198934774833</v>
      </c>
    </row>
    <row r="460" spans="1:11" x14ac:dyDescent="0.3">
      <c r="A460" t="s">
        <v>704</v>
      </c>
      <c r="B460" s="1">
        <v>45455</v>
      </c>
      <c r="C460" t="s">
        <v>136</v>
      </c>
      <c r="D460" t="s">
        <v>239</v>
      </c>
      <c r="E460">
        <v>5</v>
      </c>
      <c r="F460">
        <v>125795</v>
      </c>
      <c r="G460">
        <v>12702.21</v>
      </c>
      <c r="H460" t="str">
        <f>TEXT(Orders[[#This Row],[Order_Date]],"mmmm")</f>
        <v>June</v>
      </c>
      <c r="I460">
        <f>YEAR(Orders[[#This Row],[Order_Date]])</f>
        <v>2024</v>
      </c>
      <c r="J460" t="str">
        <f>"Q"&amp;ROUNDUP(MONTH(Orders[[#This Row],[Order_Date]])/3,0)</f>
        <v>Q2</v>
      </c>
      <c r="K460" s="2">
        <f>(Orders[[#This Row],[Profit]]/Orders[[#This Row],[Sales]])*100</f>
        <v>10.097547597281292</v>
      </c>
    </row>
    <row r="461" spans="1:11" x14ac:dyDescent="0.3">
      <c r="A461" t="s">
        <v>705</v>
      </c>
      <c r="B461" s="1">
        <v>45466</v>
      </c>
      <c r="C461" t="s">
        <v>100</v>
      </c>
      <c r="D461" t="s">
        <v>316</v>
      </c>
      <c r="E461">
        <v>5</v>
      </c>
      <c r="F461">
        <v>271920</v>
      </c>
      <c r="G461">
        <v>64967.6</v>
      </c>
      <c r="H461" t="str">
        <f>TEXT(Orders[[#This Row],[Order_Date]],"mmmm")</f>
        <v>June</v>
      </c>
      <c r="I461">
        <f>YEAR(Orders[[#This Row],[Order_Date]])</f>
        <v>2024</v>
      </c>
      <c r="J461" t="str">
        <f>"Q"&amp;ROUNDUP(MONTH(Orders[[#This Row],[Order_Date]])/3,0)</f>
        <v>Q2</v>
      </c>
      <c r="K461" s="2">
        <f>(Orders[[#This Row],[Profit]]/Orders[[#This Row],[Sales]])*100</f>
        <v>23.892174168873197</v>
      </c>
    </row>
    <row r="462" spans="1:11" x14ac:dyDescent="0.3">
      <c r="A462" t="s">
        <v>706</v>
      </c>
      <c r="B462" s="1">
        <v>45528</v>
      </c>
      <c r="C462" t="s">
        <v>204</v>
      </c>
      <c r="D462" t="s">
        <v>245</v>
      </c>
      <c r="E462">
        <v>3</v>
      </c>
      <c r="F462">
        <v>72708</v>
      </c>
      <c r="G462">
        <v>12767.66</v>
      </c>
      <c r="H462" t="str">
        <f>TEXT(Orders[[#This Row],[Order_Date]],"mmmm")</f>
        <v>August</v>
      </c>
      <c r="I462">
        <f>YEAR(Orders[[#This Row],[Order_Date]])</f>
        <v>2024</v>
      </c>
      <c r="J462" t="str">
        <f>"Q"&amp;ROUNDUP(MONTH(Orders[[#This Row],[Order_Date]])/3,0)</f>
        <v>Q3</v>
      </c>
      <c r="K462" s="2">
        <f>(Orders[[#This Row],[Profit]]/Orders[[#This Row],[Sales]])*100</f>
        <v>17.560185949276558</v>
      </c>
    </row>
    <row r="463" spans="1:11" x14ac:dyDescent="0.3">
      <c r="A463" t="s">
        <v>707</v>
      </c>
      <c r="B463" s="1">
        <v>45403</v>
      </c>
      <c r="C463" t="s">
        <v>102</v>
      </c>
      <c r="D463" t="s">
        <v>316</v>
      </c>
      <c r="E463">
        <v>4</v>
      </c>
      <c r="F463">
        <v>217536</v>
      </c>
      <c r="G463">
        <v>47865.89</v>
      </c>
      <c r="H463" t="str">
        <f>TEXT(Orders[[#This Row],[Order_Date]],"mmmm")</f>
        <v>April</v>
      </c>
      <c r="I463">
        <f>YEAR(Orders[[#This Row],[Order_Date]])</f>
        <v>2024</v>
      </c>
      <c r="J463" t="str">
        <f>"Q"&amp;ROUNDUP(MONTH(Orders[[#This Row],[Order_Date]])/3,0)</f>
        <v>Q2</v>
      </c>
      <c r="K463" s="2">
        <f>(Orders[[#This Row],[Profit]]/Orders[[#This Row],[Sales]])*100</f>
        <v>22.003663761400411</v>
      </c>
    </row>
    <row r="464" spans="1:11" x14ac:dyDescent="0.3">
      <c r="A464" t="s">
        <v>708</v>
      </c>
      <c r="B464" s="1">
        <v>45596</v>
      </c>
      <c r="C464" t="s">
        <v>62</v>
      </c>
      <c r="D464" t="s">
        <v>227</v>
      </c>
      <c r="E464">
        <v>5</v>
      </c>
      <c r="F464">
        <v>46970</v>
      </c>
      <c r="G464">
        <v>5355.86</v>
      </c>
      <c r="H464" t="str">
        <f>TEXT(Orders[[#This Row],[Order_Date]],"mmmm")</f>
        <v>October</v>
      </c>
      <c r="I464">
        <f>YEAR(Orders[[#This Row],[Order_Date]])</f>
        <v>2024</v>
      </c>
      <c r="J464" t="str">
        <f>"Q"&amp;ROUNDUP(MONTH(Orders[[#This Row],[Order_Date]])/3,0)</f>
        <v>Q4</v>
      </c>
      <c r="K464" s="2">
        <f>(Orders[[#This Row],[Profit]]/Orders[[#This Row],[Sales]])*100</f>
        <v>11.40272514370875</v>
      </c>
    </row>
    <row r="465" spans="1:11" x14ac:dyDescent="0.3">
      <c r="A465" t="s">
        <v>709</v>
      </c>
      <c r="B465" s="1">
        <v>45323</v>
      </c>
      <c r="C465" t="s">
        <v>82</v>
      </c>
      <c r="D465" t="s">
        <v>247</v>
      </c>
      <c r="E465">
        <v>3</v>
      </c>
      <c r="F465">
        <v>33468</v>
      </c>
      <c r="G465">
        <v>7828.2</v>
      </c>
      <c r="H465" t="str">
        <f>TEXT(Orders[[#This Row],[Order_Date]],"mmmm")</f>
        <v>February</v>
      </c>
      <c r="I465">
        <f>YEAR(Orders[[#This Row],[Order_Date]])</f>
        <v>2024</v>
      </c>
      <c r="J465" t="str">
        <f>"Q"&amp;ROUNDUP(MONTH(Orders[[#This Row],[Order_Date]])/3,0)</f>
        <v>Q1</v>
      </c>
      <c r="K465" s="2">
        <f>(Orders[[#This Row],[Profit]]/Orders[[#This Row],[Sales]])*100</f>
        <v>23.390103979921118</v>
      </c>
    </row>
    <row r="466" spans="1:11" x14ac:dyDescent="0.3">
      <c r="A466" t="s">
        <v>710</v>
      </c>
      <c r="B466" s="1">
        <v>45477</v>
      </c>
      <c r="C466" t="s">
        <v>104</v>
      </c>
      <c r="D466" t="s">
        <v>283</v>
      </c>
      <c r="E466">
        <v>1</v>
      </c>
      <c r="F466">
        <v>54187</v>
      </c>
      <c r="G466">
        <v>7506.42</v>
      </c>
      <c r="H466" t="str">
        <f>TEXT(Orders[[#This Row],[Order_Date]],"mmmm")</f>
        <v>July</v>
      </c>
      <c r="I466">
        <f>YEAR(Orders[[#This Row],[Order_Date]])</f>
        <v>2024</v>
      </c>
      <c r="J466" t="str">
        <f>"Q"&amp;ROUNDUP(MONTH(Orders[[#This Row],[Order_Date]])/3,0)</f>
        <v>Q3</v>
      </c>
      <c r="K466" s="2">
        <f>(Orders[[#This Row],[Profit]]/Orders[[#This Row],[Sales]])*100</f>
        <v>13.852806023584993</v>
      </c>
    </row>
    <row r="467" spans="1:11" x14ac:dyDescent="0.3">
      <c r="A467" t="s">
        <v>711</v>
      </c>
      <c r="B467" s="1">
        <v>45439</v>
      </c>
      <c r="C467" t="s">
        <v>172</v>
      </c>
      <c r="D467" t="s">
        <v>235</v>
      </c>
      <c r="E467">
        <v>4</v>
      </c>
      <c r="F467">
        <v>45368</v>
      </c>
      <c r="G467">
        <v>5242.2</v>
      </c>
      <c r="H467" t="str">
        <f>TEXT(Orders[[#This Row],[Order_Date]],"mmmm")</f>
        <v>May</v>
      </c>
      <c r="I467">
        <f>YEAR(Orders[[#This Row],[Order_Date]])</f>
        <v>2024</v>
      </c>
      <c r="J467" t="str">
        <f>"Q"&amp;ROUNDUP(MONTH(Orders[[#This Row],[Order_Date]])/3,0)</f>
        <v>Q2</v>
      </c>
      <c r="K467" s="2">
        <f>(Orders[[#This Row],[Profit]]/Orders[[#This Row],[Sales]])*100</f>
        <v>11.554840416152354</v>
      </c>
    </row>
    <row r="468" spans="1:11" x14ac:dyDescent="0.3">
      <c r="A468" t="s">
        <v>712</v>
      </c>
      <c r="B468" s="1">
        <v>45488</v>
      </c>
      <c r="C468" t="s">
        <v>76</v>
      </c>
      <c r="D468" t="s">
        <v>233</v>
      </c>
      <c r="E468">
        <v>4</v>
      </c>
      <c r="F468">
        <v>222780</v>
      </c>
      <c r="G468">
        <v>55523.29</v>
      </c>
      <c r="H468" t="str">
        <f>TEXT(Orders[[#This Row],[Order_Date]],"mmmm")</f>
        <v>July</v>
      </c>
      <c r="I468">
        <f>YEAR(Orders[[#This Row],[Order_Date]])</f>
        <v>2024</v>
      </c>
      <c r="J468" t="str">
        <f>"Q"&amp;ROUNDUP(MONTH(Orders[[#This Row],[Order_Date]])/3,0)</f>
        <v>Q3</v>
      </c>
      <c r="K468" s="2">
        <f>(Orders[[#This Row],[Profit]]/Orders[[#This Row],[Sales]])*100</f>
        <v>24.922923960858245</v>
      </c>
    </row>
    <row r="469" spans="1:11" x14ac:dyDescent="0.3">
      <c r="A469" t="s">
        <v>713</v>
      </c>
      <c r="B469" s="1">
        <v>45471</v>
      </c>
      <c r="C469" t="s">
        <v>190</v>
      </c>
      <c r="D469" t="s">
        <v>257</v>
      </c>
      <c r="E469">
        <v>1</v>
      </c>
      <c r="F469">
        <v>6747</v>
      </c>
      <c r="G469">
        <v>985.59</v>
      </c>
      <c r="H469" t="str">
        <f>TEXT(Orders[[#This Row],[Order_Date]],"mmmm")</f>
        <v>June</v>
      </c>
      <c r="I469">
        <f>YEAR(Orders[[#This Row],[Order_Date]])</f>
        <v>2024</v>
      </c>
      <c r="J469" t="str">
        <f>"Q"&amp;ROUNDUP(MONTH(Orders[[#This Row],[Order_Date]])/3,0)</f>
        <v>Q2</v>
      </c>
      <c r="K469" s="2">
        <f>(Orders[[#This Row],[Profit]]/Orders[[#This Row],[Sales]])*100</f>
        <v>14.607825700311249</v>
      </c>
    </row>
    <row r="470" spans="1:11" x14ac:dyDescent="0.3">
      <c r="A470" t="s">
        <v>714</v>
      </c>
      <c r="B470" s="1">
        <v>45605</v>
      </c>
      <c r="C470" t="s">
        <v>174</v>
      </c>
      <c r="D470" t="s">
        <v>235</v>
      </c>
      <c r="E470">
        <v>2</v>
      </c>
      <c r="F470">
        <v>22684</v>
      </c>
      <c r="G470">
        <v>2716.72</v>
      </c>
      <c r="H470" t="str">
        <f>TEXT(Orders[[#This Row],[Order_Date]],"mmmm")</f>
        <v>November</v>
      </c>
      <c r="I470">
        <f>YEAR(Orders[[#This Row],[Order_Date]])</f>
        <v>2024</v>
      </c>
      <c r="J470" t="str">
        <f>"Q"&amp;ROUNDUP(MONTH(Orders[[#This Row],[Order_Date]])/3,0)</f>
        <v>Q4</v>
      </c>
      <c r="K470" s="2">
        <f>(Orders[[#This Row],[Profit]]/Orders[[#This Row],[Sales]])*100</f>
        <v>11.976371010403808</v>
      </c>
    </row>
    <row r="471" spans="1:11" x14ac:dyDescent="0.3">
      <c r="A471" t="s">
        <v>715</v>
      </c>
      <c r="B471" s="1">
        <v>45442</v>
      </c>
      <c r="C471" t="s">
        <v>100</v>
      </c>
      <c r="D471" t="s">
        <v>229</v>
      </c>
      <c r="E471">
        <v>2</v>
      </c>
      <c r="F471">
        <v>17746</v>
      </c>
      <c r="G471">
        <v>3563.89</v>
      </c>
      <c r="H471" t="str">
        <f>TEXT(Orders[[#This Row],[Order_Date]],"mmmm")</f>
        <v>May</v>
      </c>
      <c r="I471">
        <f>YEAR(Orders[[#This Row],[Order_Date]])</f>
        <v>2024</v>
      </c>
      <c r="J471" t="str">
        <f>"Q"&amp;ROUNDUP(MONTH(Orders[[#This Row],[Order_Date]])/3,0)</f>
        <v>Q2</v>
      </c>
      <c r="K471" s="2">
        <f>(Orders[[#This Row],[Profit]]/Orders[[#This Row],[Sales]])*100</f>
        <v>20.082779217851908</v>
      </c>
    </row>
    <row r="472" spans="1:11" x14ac:dyDescent="0.3">
      <c r="A472" t="s">
        <v>716</v>
      </c>
      <c r="B472" s="1">
        <v>45339</v>
      </c>
      <c r="C472" t="s">
        <v>43</v>
      </c>
      <c r="D472" t="s">
        <v>283</v>
      </c>
      <c r="E472">
        <v>1</v>
      </c>
      <c r="F472">
        <v>54187</v>
      </c>
      <c r="G472">
        <v>11780.77</v>
      </c>
      <c r="H472" t="str">
        <f>TEXT(Orders[[#This Row],[Order_Date]],"mmmm")</f>
        <v>February</v>
      </c>
      <c r="I472">
        <f>YEAR(Orders[[#This Row],[Order_Date]])</f>
        <v>2024</v>
      </c>
      <c r="J472" t="str">
        <f>"Q"&amp;ROUNDUP(MONTH(Orders[[#This Row],[Order_Date]])/3,0)</f>
        <v>Q1</v>
      </c>
      <c r="K472" s="2">
        <f>(Orders[[#This Row],[Profit]]/Orders[[#This Row],[Sales]])*100</f>
        <v>21.740952627013861</v>
      </c>
    </row>
    <row r="473" spans="1:11" x14ac:dyDescent="0.3">
      <c r="A473" t="s">
        <v>717</v>
      </c>
      <c r="B473" s="1">
        <v>45383</v>
      </c>
      <c r="C473" t="s">
        <v>124</v>
      </c>
      <c r="D473" t="s">
        <v>260</v>
      </c>
      <c r="E473">
        <v>1</v>
      </c>
      <c r="F473">
        <v>55950</v>
      </c>
      <c r="G473">
        <v>9551.4699999999993</v>
      </c>
      <c r="H473" t="str">
        <f>TEXT(Orders[[#This Row],[Order_Date]],"mmmm")</f>
        <v>April</v>
      </c>
      <c r="I473">
        <f>YEAR(Orders[[#This Row],[Order_Date]])</f>
        <v>2024</v>
      </c>
      <c r="J473" t="str">
        <f>"Q"&amp;ROUNDUP(MONTH(Orders[[#This Row],[Order_Date]])/3,0)</f>
        <v>Q2</v>
      </c>
      <c r="K473" s="2">
        <f>(Orders[[#This Row],[Profit]]/Orders[[#This Row],[Sales]])*100</f>
        <v>17.07143878462913</v>
      </c>
    </row>
    <row r="474" spans="1:11" x14ac:dyDescent="0.3">
      <c r="A474" t="s">
        <v>718</v>
      </c>
      <c r="B474" s="1">
        <v>45458</v>
      </c>
      <c r="C474" t="s">
        <v>212</v>
      </c>
      <c r="D474" t="s">
        <v>233</v>
      </c>
      <c r="E474">
        <v>2</v>
      </c>
      <c r="F474">
        <v>111390</v>
      </c>
      <c r="G474">
        <v>16023.49</v>
      </c>
      <c r="H474" t="str">
        <f>TEXT(Orders[[#This Row],[Order_Date]],"mmmm")</f>
        <v>June</v>
      </c>
      <c r="I474">
        <f>YEAR(Orders[[#This Row],[Order_Date]])</f>
        <v>2024</v>
      </c>
      <c r="J474" t="str">
        <f>"Q"&amp;ROUNDUP(MONTH(Orders[[#This Row],[Order_Date]])/3,0)</f>
        <v>Q2</v>
      </c>
      <c r="K474" s="2">
        <f>(Orders[[#This Row],[Profit]]/Orders[[#This Row],[Sales]])*100</f>
        <v>14.385034563246252</v>
      </c>
    </row>
    <row r="475" spans="1:11" x14ac:dyDescent="0.3">
      <c r="A475" t="s">
        <v>719</v>
      </c>
      <c r="B475" s="1">
        <v>45398</v>
      </c>
      <c r="C475" t="s">
        <v>158</v>
      </c>
      <c r="D475" t="s">
        <v>255</v>
      </c>
      <c r="E475">
        <v>3</v>
      </c>
      <c r="F475">
        <v>76824</v>
      </c>
      <c r="G475">
        <v>18451.22</v>
      </c>
      <c r="H475" t="str">
        <f>TEXT(Orders[[#This Row],[Order_Date]],"mmmm")</f>
        <v>April</v>
      </c>
      <c r="I475">
        <f>YEAR(Orders[[#This Row],[Order_Date]])</f>
        <v>2024</v>
      </c>
      <c r="J475" t="str">
        <f>"Q"&amp;ROUNDUP(MONTH(Orders[[#This Row],[Order_Date]])/3,0)</f>
        <v>Q2</v>
      </c>
      <c r="K475" s="2">
        <f>(Orders[[#This Row],[Profit]]/Orders[[#This Row],[Sales]])*100</f>
        <v>24.01752056648964</v>
      </c>
    </row>
    <row r="476" spans="1:11" x14ac:dyDescent="0.3">
      <c r="A476" t="s">
        <v>720</v>
      </c>
      <c r="B476" s="1">
        <v>45374</v>
      </c>
      <c r="C476" t="s">
        <v>68</v>
      </c>
      <c r="D476" t="s">
        <v>257</v>
      </c>
      <c r="E476">
        <v>2</v>
      </c>
      <c r="F476">
        <v>13494</v>
      </c>
      <c r="G476">
        <v>3304.75</v>
      </c>
      <c r="H476" t="str">
        <f>TEXT(Orders[[#This Row],[Order_Date]],"mmmm")</f>
        <v>March</v>
      </c>
      <c r="I476">
        <f>YEAR(Orders[[#This Row],[Order_Date]])</f>
        <v>2024</v>
      </c>
      <c r="J476" t="str">
        <f>"Q"&amp;ROUNDUP(MONTH(Orders[[#This Row],[Order_Date]])/3,0)</f>
        <v>Q1</v>
      </c>
      <c r="K476" s="2">
        <f>(Orders[[#This Row],[Profit]]/Orders[[#This Row],[Sales]])*100</f>
        <v>24.490514302653029</v>
      </c>
    </row>
    <row r="477" spans="1:11" x14ac:dyDescent="0.3">
      <c r="A477" t="s">
        <v>721</v>
      </c>
      <c r="B477" s="1">
        <v>45358</v>
      </c>
      <c r="C477" t="s">
        <v>56</v>
      </c>
      <c r="D477" t="s">
        <v>239</v>
      </c>
      <c r="E477">
        <v>4</v>
      </c>
      <c r="F477">
        <v>100636</v>
      </c>
      <c r="G477">
        <v>18058.28</v>
      </c>
      <c r="H477" t="str">
        <f>TEXT(Orders[[#This Row],[Order_Date]],"mmmm")</f>
        <v>March</v>
      </c>
      <c r="I477">
        <f>YEAR(Orders[[#This Row],[Order_Date]])</f>
        <v>2024</v>
      </c>
      <c r="J477" t="str">
        <f>"Q"&amp;ROUNDUP(MONTH(Orders[[#This Row],[Order_Date]])/3,0)</f>
        <v>Q1</v>
      </c>
      <c r="K477" s="2">
        <f>(Orders[[#This Row],[Profit]]/Orders[[#This Row],[Sales]])*100</f>
        <v>17.944155173099087</v>
      </c>
    </row>
    <row r="478" spans="1:11" x14ac:dyDescent="0.3">
      <c r="A478" t="s">
        <v>722</v>
      </c>
      <c r="B478" s="1">
        <v>45651</v>
      </c>
      <c r="C478" t="s">
        <v>130</v>
      </c>
      <c r="D478" t="s">
        <v>260</v>
      </c>
      <c r="E478">
        <v>3</v>
      </c>
      <c r="F478">
        <v>167850</v>
      </c>
      <c r="G478">
        <v>30739.87</v>
      </c>
      <c r="H478" t="str">
        <f>TEXT(Orders[[#This Row],[Order_Date]],"mmmm")</f>
        <v>December</v>
      </c>
      <c r="I478">
        <f>YEAR(Orders[[#This Row],[Order_Date]])</f>
        <v>2024</v>
      </c>
      <c r="J478" t="str">
        <f>"Q"&amp;ROUNDUP(MONTH(Orders[[#This Row],[Order_Date]])/3,0)</f>
        <v>Q4</v>
      </c>
      <c r="K478" s="2">
        <f>(Orders[[#This Row],[Profit]]/Orders[[#This Row],[Sales]])*100</f>
        <v>18.313893357164133</v>
      </c>
    </row>
    <row r="479" spans="1:11" x14ac:dyDescent="0.3">
      <c r="A479" t="s">
        <v>723</v>
      </c>
      <c r="B479" s="1">
        <v>45475</v>
      </c>
      <c r="C479" t="s">
        <v>194</v>
      </c>
      <c r="D479" t="s">
        <v>233</v>
      </c>
      <c r="E479">
        <v>5</v>
      </c>
      <c r="F479">
        <v>278475</v>
      </c>
      <c r="G479">
        <v>28767.86</v>
      </c>
      <c r="H479" t="str">
        <f>TEXT(Orders[[#This Row],[Order_Date]],"mmmm")</f>
        <v>July</v>
      </c>
      <c r="I479">
        <f>YEAR(Orders[[#This Row],[Order_Date]])</f>
        <v>2024</v>
      </c>
      <c r="J479" t="str">
        <f>"Q"&amp;ROUNDUP(MONTH(Orders[[#This Row],[Order_Date]])/3,0)</f>
        <v>Q3</v>
      </c>
      <c r="K479" s="2">
        <f>(Orders[[#This Row],[Profit]]/Orders[[#This Row],[Sales]])*100</f>
        <v>10.330500044887334</v>
      </c>
    </row>
    <row r="480" spans="1:11" x14ac:dyDescent="0.3">
      <c r="A480" t="s">
        <v>724</v>
      </c>
      <c r="B480" s="1">
        <v>45546</v>
      </c>
      <c r="C480" t="s">
        <v>218</v>
      </c>
      <c r="D480" t="s">
        <v>257</v>
      </c>
      <c r="E480">
        <v>2</v>
      </c>
      <c r="F480">
        <v>13494</v>
      </c>
      <c r="G480">
        <v>1618.65</v>
      </c>
      <c r="H480" t="str">
        <f>TEXT(Orders[[#This Row],[Order_Date]],"mmmm")</f>
        <v>September</v>
      </c>
      <c r="I480">
        <f>YEAR(Orders[[#This Row],[Order_Date]])</f>
        <v>2024</v>
      </c>
      <c r="J480" t="str">
        <f>"Q"&amp;ROUNDUP(MONTH(Orders[[#This Row],[Order_Date]])/3,0)</f>
        <v>Q3</v>
      </c>
      <c r="K480" s="2">
        <f>(Orders[[#This Row],[Profit]]/Orders[[#This Row],[Sales]])*100</f>
        <v>11.995331258337041</v>
      </c>
    </row>
    <row r="481" spans="1:11" x14ac:dyDescent="0.3">
      <c r="A481" t="s">
        <v>725</v>
      </c>
      <c r="B481" s="1">
        <v>45337</v>
      </c>
      <c r="C481" t="s">
        <v>170</v>
      </c>
      <c r="D481" t="s">
        <v>316</v>
      </c>
      <c r="E481">
        <v>1</v>
      </c>
      <c r="F481">
        <v>54384</v>
      </c>
      <c r="G481">
        <v>12880.53</v>
      </c>
      <c r="H481" t="str">
        <f>TEXT(Orders[[#This Row],[Order_Date]],"mmmm")</f>
        <v>February</v>
      </c>
      <c r="I481">
        <f>YEAR(Orders[[#This Row],[Order_Date]])</f>
        <v>2024</v>
      </c>
      <c r="J481" t="str">
        <f>"Q"&amp;ROUNDUP(MONTH(Orders[[#This Row],[Order_Date]])/3,0)</f>
        <v>Q1</v>
      </c>
      <c r="K481" s="2">
        <f>(Orders[[#This Row],[Profit]]/Orders[[#This Row],[Sales]])*100</f>
        <v>23.684410856134157</v>
      </c>
    </row>
    <row r="482" spans="1:11" x14ac:dyDescent="0.3">
      <c r="A482" t="s">
        <v>726</v>
      </c>
      <c r="B482" s="1">
        <v>45365</v>
      </c>
      <c r="C482" t="s">
        <v>54</v>
      </c>
      <c r="D482" t="s">
        <v>241</v>
      </c>
      <c r="E482">
        <v>4</v>
      </c>
      <c r="F482">
        <v>33448</v>
      </c>
      <c r="G482">
        <v>5887.44</v>
      </c>
      <c r="H482" t="str">
        <f>TEXT(Orders[[#This Row],[Order_Date]],"mmmm")</f>
        <v>March</v>
      </c>
      <c r="I482">
        <f>YEAR(Orders[[#This Row],[Order_Date]])</f>
        <v>2024</v>
      </c>
      <c r="J482" t="str">
        <f>"Q"&amp;ROUNDUP(MONTH(Orders[[#This Row],[Order_Date]])/3,0)</f>
        <v>Q1</v>
      </c>
      <c r="K482" s="2">
        <f>(Orders[[#This Row],[Profit]]/Orders[[#This Row],[Sales]])*100</f>
        <v>17.601769911504423</v>
      </c>
    </row>
    <row r="483" spans="1:11" x14ac:dyDescent="0.3">
      <c r="A483" t="s">
        <v>727</v>
      </c>
      <c r="B483" s="1">
        <v>45470</v>
      </c>
      <c r="C483" t="s">
        <v>72</v>
      </c>
      <c r="D483" t="s">
        <v>253</v>
      </c>
      <c r="E483">
        <v>2</v>
      </c>
      <c r="F483">
        <v>12050</v>
      </c>
      <c r="G483">
        <v>1537.68</v>
      </c>
      <c r="H483" t="str">
        <f>TEXT(Orders[[#This Row],[Order_Date]],"mmmm")</f>
        <v>June</v>
      </c>
      <c r="I483">
        <f>YEAR(Orders[[#This Row],[Order_Date]])</f>
        <v>2024</v>
      </c>
      <c r="J483" t="str">
        <f>"Q"&amp;ROUNDUP(MONTH(Orders[[#This Row],[Order_Date]])/3,0)</f>
        <v>Q2</v>
      </c>
      <c r="K483" s="2">
        <f>(Orders[[#This Row],[Profit]]/Orders[[#This Row],[Sales]])*100</f>
        <v>12.760829875518672</v>
      </c>
    </row>
    <row r="484" spans="1:11" x14ac:dyDescent="0.3">
      <c r="A484" t="s">
        <v>728</v>
      </c>
      <c r="B484" s="1">
        <v>45528</v>
      </c>
      <c r="C484" t="s">
        <v>33</v>
      </c>
      <c r="D484" t="s">
        <v>229</v>
      </c>
      <c r="E484">
        <v>4</v>
      </c>
      <c r="F484">
        <v>35492</v>
      </c>
      <c r="G484">
        <v>3019.34</v>
      </c>
      <c r="H484" t="str">
        <f>TEXT(Orders[[#This Row],[Order_Date]],"mmmm")</f>
        <v>August</v>
      </c>
      <c r="I484">
        <f>YEAR(Orders[[#This Row],[Order_Date]])</f>
        <v>2024</v>
      </c>
      <c r="J484" t="str">
        <f>"Q"&amp;ROUNDUP(MONTH(Orders[[#This Row],[Order_Date]])/3,0)</f>
        <v>Q3</v>
      </c>
      <c r="K484" s="2">
        <f>(Orders[[#This Row],[Profit]]/Orders[[#This Row],[Sales]])*100</f>
        <v>8.5071001915924711</v>
      </c>
    </row>
    <row r="485" spans="1:11" x14ac:dyDescent="0.3">
      <c r="A485" t="s">
        <v>729</v>
      </c>
      <c r="B485" s="1">
        <v>45294</v>
      </c>
      <c r="C485" t="s">
        <v>70</v>
      </c>
      <c r="D485" t="s">
        <v>227</v>
      </c>
      <c r="E485">
        <v>2</v>
      </c>
      <c r="F485">
        <v>18788</v>
      </c>
      <c r="G485">
        <v>3704.25</v>
      </c>
      <c r="H485" t="str">
        <f>TEXT(Orders[[#This Row],[Order_Date]],"mmmm")</f>
        <v>January</v>
      </c>
      <c r="I485">
        <f>YEAR(Orders[[#This Row],[Order_Date]])</f>
        <v>2024</v>
      </c>
      <c r="J485" t="str">
        <f>"Q"&amp;ROUNDUP(MONTH(Orders[[#This Row],[Order_Date]])/3,0)</f>
        <v>Q1</v>
      </c>
      <c r="K485" s="2">
        <f>(Orders[[#This Row],[Profit]]/Orders[[#This Row],[Sales]])*100</f>
        <v>19.716042154566747</v>
      </c>
    </row>
    <row r="486" spans="1:11" x14ac:dyDescent="0.3">
      <c r="A486" t="s">
        <v>730</v>
      </c>
      <c r="B486" s="1">
        <v>45557</v>
      </c>
      <c r="C486" t="s">
        <v>204</v>
      </c>
      <c r="D486" t="s">
        <v>279</v>
      </c>
      <c r="E486">
        <v>1</v>
      </c>
      <c r="F486">
        <v>6220</v>
      </c>
      <c r="G486">
        <v>779.9</v>
      </c>
      <c r="H486" t="str">
        <f>TEXT(Orders[[#This Row],[Order_Date]],"mmmm")</f>
        <v>September</v>
      </c>
      <c r="I486">
        <f>YEAR(Orders[[#This Row],[Order_Date]])</f>
        <v>2024</v>
      </c>
      <c r="J486" t="str">
        <f>"Q"&amp;ROUNDUP(MONTH(Orders[[#This Row],[Order_Date]])/3,0)</f>
        <v>Q3</v>
      </c>
      <c r="K486" s="2">
        <f>(Orders[[#This Row],[Profit]]/Orders[[#This Row],[Sales]])*100</f>
        <v>12.538585209003214</v>
      </c>
    </row>
    <row r="487" spans="1:11" x14ac:dyDescent="0.3">
      <c r="A487" t="s">
        <v>731</v>
      </c>
      <c r="B487" s="1">
        <v>45348</v>
      </c>
      <c r="C487" t="s">
        <v>68</v>
      </c>
      <c r="D487" t="s">
        <v>237</v>
      </c>
      <c r="E487">
        <v>1</v>
      </c>
      <c r="F487">
        <v>8626</v>
      </c>
      <c r="G487">
        <v>1882.89</v>
      </c>
      <c r="H487" t="str">
        <f>TEXT(Orders[[#This Row],[Order_Date]],"mmmm")</f>
        <v>February</v>
      </c>
      <c r="I487">
        <f>YEAR(Orders[[#This Row],[Order_Date]])</f>
        <v>2024</v>
      </c>
      <c r="J487" t="str">
        <f>"Q"&amp;ROUNDUP(MONTH(Orders[[#This Row],[Order_Date]])/3,0)</f>
        <v>Q1</v>
      </c>
      <c r="K487" s="2">
        <f>(Orders[[#This Row],[Profit]]/Orders[[#This Row],[Sales]])*100</f>
        <v>21.828077904011131</v>
      </c>
    </row>
    <row r="488" spans="1:11" x14ac:dyDescent="0.3">
      <c r="A488" t="s">
        <v>732</v>
      </c>
      <c r="B488" s="1">
        <v>45587</v>
      </c>
      <c r="C488" t="s">
        <v>122</v>
      </c>
      <c r="D488" t="s">
        <v>233</v>
      </c>
      <c r="E488">
        <v>1</v>
      </c>
      <c r="F488">
        <v>55695</v>
      </c>
      <c r="G488">
        <v>8672.57</v>
      </c>
      <c r="H488" t="str">
        <f>TEXT(Orders[[#This Row],[Order_Date]],"mmmm")</f>
        <v>October</v>
      </c>
      <c r="I488">
        <f>YEAR(Orders[[#This Row],[Order_Date]])</f>
        <v>2024</v>
      </c>
      <c r="J488" t="str">
        <f>"Q"&amp;ROUNDUP(MONTH(Orders[[#This Row],[Order_Date]])/3,0)</f>
        <v>Q4</v>
      </c>
      <c r="K488" s="2">
        <f>(Orders[[#This Row],[Profit]]/Orders[[#This Row],[Sales]])*100</f>
        <v>15.571541431008168</v>
      </c>
    </row>
    <row r="489" spans="1:11" x14ac:dyDescent="0.3">
      <c r="A489" t="s">
        <v>733</v>
      </c>
      <c r="B489" s="1">
        <v>45482</v>
      </c>
      <c r="C489" t="s">
        <v>152</v>
      </c>
      <c r="D489" t="s">
        <v>316</v>
      </c>
      <c r="E489">
        <v>3</v>
      </c>
      <c r="F489">
        <v>163152</v>
      </c>
      <c r="G489">
        <v>17010.54</v>
      </c>
      <c r="H489" t="str">
        <f>TEXT(Orders[[#This Row],[Order_Date]],"mmmm")</f>
        <v>July</v>
      </c>
      <c r="I489">
        <f>YEAR(Orders[[#This Row],[Order_Date]])</f>
        <v>2024</v>
      </c>
      <c r="J489" t="str">
        <f>"Q"&amp;ROUNDUP(MONTH(Orders[[#This Row],[Order_Date]])/3,0)</f>
        <v>Q3</v>
      </c>
      <c r="K489" s="2">
        <f>(Orders[[#This Row],[Profit]]/Orders[[#This Row],[Sales]])*100</f>
        <v>10.426191526919682</v>
      </c>
    </row>
    <row r="490" spans="1:11" x14ac:dyDescent="0.3">
      <c r="A490" t="s">
        <v>734</v>
      </c>
      <c r="B490" s="1">
        <v>45480</v>
      </c>
      <c r="C490" t="s">
        <v>184</v>
      </c>
      <c r="D490" t="s">
        <v>253</v>
      </c>
      <c r="E490">
        <v>4</v>
      </c>
      <c r="F490">
        <v>24100</v>
      </c>
      <c r="G490">
        <v>3613.45</v>
      </c>
      <c r="H490" t="str">
        <f>TEXT(Orders[[#This Row],[Order_Date]],"mmmm")</f>
        <v>July</v>
      </c>
      <c r="I490">
        <f>YEAR(Orders[[#This Row],[Order_Date]])</f>
        <v>2024</v>
      </c>
      <c r="J490" t="str">
        <f>"Q"&amp;ROUNDUP(MONTH(Orders[[#This Row],[Order_Date]])/3,0)</f>
        <v>Q3</v>
      </c>
      <c r="K490" s="2">
        <f>(Orders[[#This Row],[Profit]]/Orders[[#This Row],[Sales]])*100</f>
        <v>14.99356846473029</v>
      </c>
    </row>
    <row r="491" spans="1:11" x14ac:dyDescent="0.3">
      <c r="A491" t="s">
        <v>735</v>
      </c>
      <c r="B491" s="1">
        <v>45413</v>
      </c>
      <c r="C491" t="s">
        <v>160</v>
      </c>
      <c r="D491" t="s">
        <v>263</v>
      </c>
      <c r="E491">
        <v>2</v>
      </c>
      <c r="F491">
        <v>14310</v>
      </c>
      <c r="G491">
        <v>1303.6400000000001</v>
      </c>
      <c r="H491" t="str">
        <f>TEXT(Orders[[#This Row],[Order_Date]],"mmmm")</f>
        <v>May</v>
      </c>
      <c r="I491">
        <f>YEAR(Orders[[#This Row],[Order_Date]])</f>
        <v>2024</v>
      </c>
      <c r="J491" t="str">
        <f>"Q"&amp;ROUNDUP(MONTH(Orders[[#This Row],[Order_Date]])/3,0)</f>
        <v>Q2</v>
      </c>
      <c r="K491" s="2">
        <f>(Orders[[#This Row],[Profit]]/Orders[[#This Row],[Sales]])*100</f>
        <v>9.1099930118798049</v>
      </c>
    </row>
    <row r="492" spans="1:11" x14ac:dyDescent="0.3">
      <c r="A492" t="s">
        <v>736</v>
      </c>
      <c r="B492" s="1">
        <v>45525</v>
      </c>
      <c r="C492" t="s">
        <v>80</v>
      </c>
      <c r="D492" t="s">
        <v>344</v>
      </c>
      <c r="E492">
        <v>2</v>
      </c>
      <c r="F492">
        <v>18202</v>
      </c>
      <c r="G492">
        <v>3527.7</v>
      </c>
      <c r="H492" t="str">
        <f>TEXT(Orders[[#This Row],[Order_Date]],"mmmm")</f>
        <v>August</v>
      </c>
      <c r="I492">
        <f>YEAR(Orders[[#This Row],[Order_Date]])</f>
        <v>2024</v>
      </c>
      <c r="J492" t="str">
        <f>"Q"&amp;ROUNDUP(MONTH(Orders[[#This Row],[Order_Date]])/3,0)</f>
        <v>Q3</v>
      </c>
      <c r="K492" s="2">
        <f>(Orders[[#This Row],[Profit]]/Orders[[#This Row],[Sales]])*100</f>
        <v>19.380837270629598</v>
      </c>
    </row>
    <row r="493" spans="1:11" x14ac:dyDescent="0.3">
      <c r="A493" t="s">
        <v>737</v>
      </c>
      <c r="B493" s="1">
        <v>45380</v>
      </c>
      <c r="C493" t="s">
        <v>176</v>
      </c>
      <c r="D493" t="s">
        <v>266</v>
      </c>
      <c r="E493">
        <v>5</v>
      </c>
      <c r="F493">
        <v>56175</v>
      </c>
      <c r="G493">
        <v>5404.8</v>
      </c>
      <c r="H493" t="str">
        <f>TEXT(Orders[[#This Row],[Order_Date]],"mmmm")</f>
        <v>March</v>
      </c>
      <c r="I493">
        <f>YEAR(Orders[[#This Row],[Order_Date]])</f>
        <v>2024</v>
      </c>
      <c r="J493" t="str">
        <f>"Q"&amp;ROUNDUP(MONTH(Orders[[#This Row],[Order_Date]])/3,0)</f>
        <v>Q1</v>
      </c>
      <c r="K493" s="2">
        <f>(Orders[[#This Row],[Profit]]/Orders[[#This Row],[Sales]])*100</f>
        <v>9.621361815754339</v>
      </c>
    </row>
    <row r="494" spans="1:11" x14ac:dyDescent="0.3">
      <c r="A494" t="s">
        <v>738</v>
      </c>
      <c r="B494" s="1">
        <v>45434</v>
      </c>
      <c r="C494" t="s">
        <v>154</v>
      </c>
      <c r="D494" t="s">
        <v>344</v>
      </c>
      <c r="E494">
        <v>1</v>
      </c>
      <c r="F494">
        <v>9101</v>
      </c>
      <c r="G494">
        <v>1393.65</v>
      </c>
      <c r="H494" t="str">
        <f>TEXT(Orders[[#This Row],[Order_Date]],"mmmm")</f>
        <v>May</v>
      </c>
      <c r="I494">
        <f>YEAR(Orders[[#This Row],[Order_Date]])</f>
        <v>2024</v>
      </c>
      <c r="J494" t="str">
        <f>"Q"&amp;ROUNDUP(MONTH(Orders[[#This Row],[Order_Date]])/3,0)</f>
        <v>Q2</v>
      </c>
      <c r="K494" s="2">
        <f>(Orders[[#This Row],[Profit]]/Orders[[#This Row],[Sales]])*100</f>
        <v>15.313152400835072</v>
      </c>
    </row>
    <row r="495" spans="1:11" x14ac:dyDescent="0.3">
      <c r="A495" t="s">
        <v>739</v>
      </c>
      <c r="B495" s="1">
        <v>45630</v>
      </c>
      <c r="C495" t="s">
        <v>126</v>
      </c>
      <c r="D495" t="s">
        <v>260</v>
      </c>
      <c r="E495">
        <v>2</v>
      </c>
      <c r="F495">
        <v>111900</v>
      </c>
      <c r="G495">
        <v>22176.86</v>
      </c>
      <c r="H495" t="str">
        <f>TEXT(Orders[[#This Row],[Order_Date]],"mmmm")</f>
        <v>December</v>
      </c>
      <c r="I495">
        <f>YEAR(Orders[[#This Row],[Order_Date]])</f>
        <v>2024</v>
      </c>
      <c r="J495" t="str">
        <f>"Q"&amp;ROUNDUP(MONTH(Orders[[#This Row],[Order_Date]])/3,0)</f>
        <v>Q4</v>
      </c>
      <c r="K495" s="2">
        <f>(Orders[[#This Row],[Profit]]/Orders[[#This Row],[Sales]])*100</f>
        <v>19.818462913315461</v>
      </c>
    </row>
    <row r="496" spans="1:11" x14ac:dyDescent="0.3">
      <c r="A496" t="s">
        <v>740</v>
      </c>
      <c r="B496" s="1">
        <v>45316</v>
      </c>
      <c r="C496" t="s">
        <v>114</v>
      </c>
      <c r="D496" t="s">
        <v>283</v>
      </c>
      <c r="E496">
        <v>3</v>
      </c>
      <c r="F496">
        <v>162561</v>
      </c>
      <c r="G496">
        <v>29170.65</v>
      </c>
      <c r="H496" t="str">
        <f>TEXT(Orders[[#This Row],[Order_Date]],"mmmm")</f>
        <v>January</v>
      </c>
      <c r="I496">
        <f>YEAR(Orders[[#This Row],[Order_Date]])</f>
        <v>2024</v>
      </c>
      <c r="J496" t="str">
        <f>"Q"&amp;ROUNDUP(MONTH(Orders[[#This Row],[Order_Date]])/3,0)</f>
        <v>Q1</v>
      </c>
      <c r="K496" s="2">
        <f>(Orders[[#This Row],[Profit]]/Orders[[#This Row],[Sales]])*100</f>
        <v>17.944433166626684</v>
      </c>
    </row>
    <row r="497" spans="1:11" x14ac:dyDescent="0.3">
      <c r="A497" t="s">
        <v>741</v>
      </c>
      <c r="B497" s="1">
        <v>45559</v>
      </c>
      <c r="C497" t="s">
        <v>148</v>
      </c>
      <c r="D497" t="s">
        <v>266</v>
      </c>
      <c r="E497">
        <v>2</v>
      </c>
      <c r="F497">
        <v>22470</v>
      </c>
      <c r="G497">
        <v>4428.51</v>
      </c>
      <c r="H497" t="str">
        <f>TEXT(Orders[[#This Row],[Order_Date]],"mmmm")</f>
        <v>September</v>
      </c>
      <c r="I497">
        <f>YEAR(Orders[[#This Row],[Order_Date]])</f>
        <v>2024</v>
      </c>
      <c r="J497" t="str">
        <f>"Q"&amp;ROUNDUP(MONTH(Orders[[#This Row],[Order_Date]])/3,0)</f>
        <v>Q3</v>
      </c>
      <c r="K497" s="2">
        <f>(Orders[[#This Row],[Profit]]/Orders[[#This Row],[Sales]])*100</f>
        <v>19.708544726301735</v>
      </c>
    </row>
    <row r="498" spans="1:11" x14ac:dyDescent="0.3">
      <c r="A498" t="s">
        <v>742</v>
      </c>
      <c r="B498" s="1">
        <v>45417</v>
      </c>
      <c r="C498" t="s">
        <v>112</v>
      </c>
      <c r="D498" t="s">
        <v>245</v>
      </c>
      <c r="E498">
        <v>1</v>
      </c>
      <c r="F498">
        <v>24236</v>
      </c>
      <c r="G498">
        <v>3378.25</v>
      </c>
      <c r="H498" t="str">
        <f>TEXT(Orders[[#This Row],[Order_Date]],"mmmm")</f>
        <v>May</v>
      </c>
      <c r="I498">
        <f>YEAR(Orders[[#This Row],[Order_Date]])</f>
        <v>2024</v>
      </c>
      <c r="J498" t="str">
        <f>"Q"&amp;ROUNDUP(MONTH(Orders[[#This Row],[Order_Date]])/3,0)</f>
        <v>Q2</v>
      </c>
      <c r="K498" s="2">
        <f>(Orders[[#This Row],[Profit]]/Orders[[#This Row],[Sales]])*100</f>
        <v>13.938975078395774</v>
      </c>
    </row>
    <row r="499" spans="1:11" x14ac:dyDescent="0.3">
      <c r="A499" t="s">
        <v>743</v>
      </c>
      <c r="B499" s="1">
        <v>45301</v>
      </c>
      <c r="C499" t="s">
        <v>182</v>
      </c>
      <c r="D499" t="s">
        <v>239</v>
      </c>
      <c r="E499">
        <v>4</v>
      </c>
      <c r="F499">
        <v>100636</v>
      </c>
      <c r="G499">
        <v>24318</v>
      </c>
      <c r="H499" t="str">
        <f>TEXT(Orders[[#This Row],[Order_Date]],"mmmm")</f>
        <v>January</v>
      </c>
      <c r="I499">
        <f>YEAR(Orders[[#This Row],[Order_Date]])</f>
        <v>2024</v>
      </c>
      <c r="J499" t="str">
        <f>"Q"&amp;ROUNDUP(MONTH(Orders[[#This Row],[Order_Date]])/3,0)</f>
        <v>Q1</v>
      </c>
      <c r="K499" s="2">
        <f>(Orders[[#This Row],[Profit]]/Orders[[#This Row],[Sales]])*100</f>
        <v>24.164314956874282</v>
      </c>
    </row>
    <row r="500" spans="1:11" x14ac:dyDescent="0.3">
      <c r="A500" t="s">
        <v>744</v>
      </c>
      <c r="B500" s="1">
        <v>45533</v>
      </c>
      <c r="C500" t="s">
        <v>112</v>
      </c>
      <c r="D500" t="s">
        <v>260</v>
      </c>
      <c r="E500">
        <v>2</v>
      </c>
      <c r="F500">
        <v>111900</v>
      </c>
      <c r="G500">
        <v>14434.72</v>
      </c>
      <c r="H500" t="str">
        <f>TEXT(Orders[[#This Row],[Order_Date]],"mmmm")</f>
        <v>August</v>
      </c>
      <c r="I500">
        <f>YEAR(Orders[[#This Row],[Order_Date]])</f>
        <v>2024</v>
      </c>
      <c r="J500" t="str">
        <f>"Q"&amp;ROUNDUP(MONTH(Orders[[#This Row],[Order_Date]])/3,0)</f>
        <v>Q3</v>
      </c>
      <c r="K500" s="2">
        <f>(Orders[[#This Row],[Profit]]/Orders[[#This Row],[Sales]])*100</f>
        <v>12.899660411081321</v>
      </c>
    </row>
    <row r="501" spans="1:11" x14ac:dyDescent="0.3">
      <c r="A501" t="s">
        <v>745</v>
      </c>
      <c r="B501" s="1">
        <v>45593</v>
      </c>
      <c r="C501" t="s">
        <v>182</v>
      </c>
      <c r="D501" t="s">
        <v>344</v>
      </c>
      <c r="E501">
        <v>4</v>
      </c>
      <c r="F501">
        <v>36404</v>
      </c>
      <c r="G501">
        <v>3327.81</v>
      </c>
      <c r="H501" t="str">
        <f>TEXT(Orders[[#This Row],[Order_Date]],"mmmm")</f>
        <v>October</v>
      </c>
      <c r="I501">
        <f>YEAR(Orders[[#This Row],[Order_Date]])</f>
        <v>2024</v>
      </c>
      <c r="J501" t="str">
        <f>"Q"&amp;ROUNDUP(MONTH(Orders[[#This Row],[Order_Date]])/3,0)</f>
        <v>Q4</v>
      </c>
      <c r="K501" s="2">
        <f>(Orders[[#This Row],[Profit]]/Orders[[#This Row],[Sales]])*100</f>
        <v>9.1413306230084608</v>
      </c>
    </row>
    <row r="502" spans="1:11" x14ac:dyDescent="0.3">
      <c r="A502" t="s">
        <v>746</v>
      </c>
      <c r="B502" s="1">
        <v>45548</v>
      </c>
      <c r="C502" t="s">
        <v>130</v>
      </c>
      <c r="D502" t="s">
        <v>237</v>
      </c>
      <c r="E502">
        <v>4</v>
      </c>
      <c r="F502">
        <v>34504</v>
      </c>
      <c r="G502">
        <v>5951.83</v>
      </c>
      <c r="H502" t="str">
        <f>TEXT(Orders[[#This Row],[Order_Date]],"mmmm")</f>
        <v>September</v>
      </c>
      <c r="I502">
        <f>YEAR(Orders[[#This Row],[Order_Date]])</f>
        <v>2024</v>
      </c>
      <c r="J502" t="str">
        <f>"Q"&amp;ROUNDUP(MONTH(Orders[[#This Row],[Order_Date]])/3,0)</f>
        <v>Q3</v>
      </c>
      <c r="K502" s="2">
        <f>(Orders[[#This Row],[Profit]]/Orders[[#This Row],[Sales]])*100</f>
        <v>17.249681196383026</v>
      </c>
    </row>
    <row r="503" spans="1:11" x14ac:dyDescent="0.3">
      <c r="A503" t="s">
        <v>747</v>
      </c>
      <c r="B503" s="1">
        <v>45653</v>
      </c>
      <c r="C503" t="s">
        <v>43</v>
      </c>
      <c r="D503" t="s">
        <v>260</v>
      </c>
      <c r="E503">
        <v>5</v>
      </c>
      <c r="F503">
        <v>279750</v>
      </c>
      <c r="G503">
        <v>62710.87</v>
      </c>
      <c r="H503" t="str">
        <f>TEXT(Orders[[#This Row],[Order_Date]],"mmmm")</f>
        <v>December</v>
      </c>
      <c r="I503">
        <f>YEAR(Orders[[#This Row],[Order_Date]])</f>
        <v>2024</v>
      </c>
      <c r="J503" t="str">
        <f>"Q"&amp;ROUNDUP(MONTH(Orders[[#This Row],[Order_Date]])/3,0)</f>
        <v>Q4</v>
      </c>
      <c r="K503" s="2">
        <f>(Orders[[#This Row],[Profit]]/Orders[[#This Row],[Sales]])*100</f>
        <v>22.416754244861483</v>
      </c>
    </row>
    <row r="504" spans="1:11" x14ac:dyDescent="0.3">
      <c r="A504" t="s">
        <v>748</v>
      </c>
      <c r="B504" s="1">
        <v>45415</v>
      </c>
      <c r="C504" t="s">
        <v>120</v>
      </c>
      <c r="D504" t="s">
        <v>235</v>
      </c>
      <c r="E504">
        <v>5</v>
      </c>
      <c r="F504">
        <v>56710</v>
      </c>
      <c r="G504">
        <v>13710.03</v>
      </c>
      <c r="H504" t="str">
        <f>TEXT(Orders[[#This Row],[Order_Date]],"mmmm")</f>
        <v>May</v>
      </c>
      <c r="I504">
        <f>YEAR(Orders[[#This Row],[Order_Date]])</f>
        <v>2024</v>
      </c>
      <c r="J504" t="str">
        <f>"Q"&amp;ROUNDUP(MONTH(Orders[[#This Row],[Order_Date]])/3,0)</f>
        <v>Q2</v>
      </c>
      <c r="K504" s="2">
        <f>(Orders[[#This Row],[Profit]]/Orders[[#This Row],[Sales]])*100</f>
        <v>24.175683301005115</v>
      </c>
    </row>
    <row r="505" spans="1:11" x14ac:dyDescent="0.3">
      <c r="A505" t="s">
        <v>749</v>
      </c>
      <c r="B505" s="1">
        <v>45454</v>
      </c>
      <c r="C505" t="s">
        <v>152</v>
      </c>
      <c r="D505" t="s">
        <v>229</v>
      </c>
      <c r="E505">
        <v>4</v>
      </c>
      <c r="F505">
        <v>35492</v>
      </c>
      <c r="G505">
        <v>7862.55</v>
      </c>
      <c r="H505" t="str">
        <f>TEXT(Orders[[#This Row],[Order_Date]],"mmmm")</f>
        <v>June</v>
      </c>
      <c r="I505">
        <f>YEAR(Orders[[#This Row],[Order_Date]])</f>
        <v>2024</v>
      </c>
      <c r="J505" t="str">
        <f>"Q"&amp;ROUNDUP(MONTH(Orders[[#This Row],[Order_Date]])/3,0)</f>
        <v>Q2</v>
      </c>
      <c r="K505" s="2">
        <f>(Orders[[#This Row],[Profit]]/Orders[[#This Row],[Sales]])*100</f>
        <v>22.153020398963147</v>
      </c>
    </row>
    <row r="506" spans="1:11" x14ac:dyDescent="0.3">
      <c r="A506" t="s">
        <v>750</v>
      </c>
      <c r="B506" s="1">
        <v>45604</v>
      </c>
      <c r="C506" t="s">
        <v>132</v>
      </c>
      <c r="D506" t="s">
        <v>239</v>
      </c>
      <c r="E506">
        <v>1</v>
      </c>
      <c r="F506">
        <v>25159</v>
      </c>
      <c r="G506">
        <v>2913.81</v>
      </c>
      <c r="H506" t="str">
        <f>TEXT(Orders[[#This Row],[Order_Date]],"mmmm")</f>
        <v>November</v>
      </c>
      <c r="I506">
        <f>YEAR(Orders[[#This Row],[Order_Date]])</f>
        <v>2024</v>
      </c>
      <c r="J506" t="str">
        <f>"Q"&amp;ROUNDUP(MONTH(Orders[[#This Row],[Order_Date]])/3,0)</f>
        <v>Q4</v>
      </c>
      <c r="K506" s="2">
        <f>(Orders[[#This Row],[Profit]]/Orders[[#This Row],[Sales]])*100</f>
        <v>11.581581143924639</v>
      </c>
    </row>
    <row r="507" spans="1:11" x14ac:dyDescent="0.3">
      <c r="A507" t="s">
        <v>751</v>
      </c>
      <c r="B507" s="1">
        <v>45346</v>
      </c>
      <c r="C507" t="s">
        <v>198</v>
      </c>
      <c r="D507" t="s">
        <v>253</v>
      </c>
      <c r="E507">
        <v>1</v>
      </c>
      <c r="F507">
        <v>6025</v>
      </c>
      <c r="G507">
        <v>580.51</v>
      </c>
      <c r="H507" t="str">
        <f>TEXT(Orders[[#This Row],[Order_Date]],"mmmm")</f>
        <v>February</v>
      </c>
      <c r="I507">
        <f>YEAR(Orders[[#This Row],[Order_Date]])</f>
        <v>2024</v>
      </c>
      <c r="J507" t="str">
        <f>"Q"&amp;ROUNDUP(MONTH(Orders[[#This Row],[Order_Date]])/3,0)</f>
        <v>Q1</v>
      </c>
      <c r="K507" s="2">
        <f>(Orders[[#This Row],[Profit]]/Orders[[#This Row],[Sales]])*100</f>
        <v>9.6350207468879656</v>
      </c>
    </row>
    <row r="508" spans="1:11" x14ac:dyDescent="0.3">
      <c r="A508" t="s">
        <v>752</v>
      </c>
      <c r="B508" s="1">
        <v>45554</v>
      </c>
      <c r="C508" t="s">
        <v>70</v>
      </c>
      <c r="D508" t="s">
        <v>239</v>
      </c>
      <c r="E508">
        <v>5</v>
      </c>
      <c r="F508">
        <v>125795</v>
      </c>
      <c r="G508">
        <v>11934.96</v>
      </c>
      <c r="H508" t="str">
        <f>TEXT(Orders[[#This Row],[Order_Date]],"mmmm")</f>
        <v>September</v>
      </c>
      <c r="I508">
        <f>YEAR(Orders[[#This Row],[Order_Date]])</f>
        <v>2024</v>
      </c>
      <c r="J508" t="str">
        <f>"Q"&amp;ROUNDUP(MONTH(Orders[[#This Row],[Order_Date]])/3,0)</f>
        <v>Q3</v>
      </c>
      <c r="K508" s="2">
        <f>(Orders[[#This Row],[Profit]]/Orders[[#This Row],[Sales]])*100</f>
        <v>9.4876266942247298</v>
      </c>
    </row>
    <row r="509" spans="1:11" x14ac:dyDescent="0.3">
      <c r="A509" t="s">
        <v>753</v>
      </c>
      <c r="B509" s="1">
        <v>45605</v>
      </c>
      <c r="C509" t="s">
        <v>130</v>
      </c>
      <c r="D509" t="s">
        <v>227</v>
      </c>
      <c r="E509">
        <v>1</v>
      </c>
      <c r="F509">
        <v>9394</v>
      </c>
      <c r="G509">
        <v>1242.3900000000001</v>
      </c>
      <c r="H509" t="str">
        <f>TEXT(Orders[[#This Row],[Order_Date]],"mmmm")</f>
        <v>November</v>
      </c>
      <c r="I509">
        <f>YEAR(Orders[[#This Row],[Order_Date]])</f>
        <v>2024</v>
      </c>
      <c r="J509" t="str">
        <f>"Q"&amp;ROUNDUP(MONTH(Orders[[#This Row],[Order_Date]])/3,0)</f>
        <v>Q4</v>
      </c>
      <c r="K509" s="2">
        <f>(Orders[[#This Row],[Profit]]/Orders[[#This Row],[Sales]])*100</f>
        <v>13.225356610602512</v>
      </c>
    </row>
    <row r="510" spans="1:11" x14ac:dyDescent="0.3">
      <c r="A510" t="s">
        <v>754</v>
      </c>
      <c r="B510" s="1">
        <v>45492</v>
      </c>
      <c r="C510" t="s">
        <v>31</v>
      </c>
      <c r="D510" t="s">
        <v>245</v>
      </c>
      <c r="E510">
        <v>4</v>
      </c>
      <c r="F510">
        <v>96944</v>
      </c>
      <c r="G510">
        <v>16992.54</v>
      </c>
      <c r="H510" t="str">
        <f>TEXT(Orders[[#This Row],[Order_Date]],"mmmm")</f>
        <v>July</v>
      </c>
      <c r="I510">
        <f>YEAR(Orders[[#This Row],[Order_Date]])</f>
        <v>2024</v>
      </c>
      <c r="J510" t="str">
        <f>"Q"&amp;ROUNDUP(MONTH(Orders[[#This Row],[Order_Date]])/3,0)</f>
        <v>Q3</v>
      </c>
      <c r="K510" s="2">
        <f>(Orders[[#This Row],[Profit]]/Orders[[#This Row],[Sales]])*100</f>
        <v>17.52820184848985</v>
      </c>
    </row>
    <row r="511" spans="1:11" x14ac:dyDescent="0.3">
      <c r="A511" t="s">
        <v>755</v>
      </c>
      <c r="B511" s="1">
        <v>45609</v>
      </c>
      <c r="C511" t="s">
        <v>180</v>
      </c>
      <c r="D511" t="s">
        <v>247</v>
      </c>
      <c r="E511">
        <v>5</v>
      </c>
      <c r="F511">
        <v>55780</v>
      </c>
      <c r="G511">
        <v>4737.21</v>
      </c>
      <c r="H511" t="str">
        <f>TEXT(Orders[[#This Row],[Order_Date]],"mmmm")</f>
        <v>November</v>
      </c>
      <c r="I511">
        <f>YEAR(Orders[[#This Row],[Order_Date]])</f>
        <v>2024</v>
      </c>
      <c r="J511" t="str">
        <f>"Q"&amp;ROUNDUP(MONTH(Orders[[#This Row],[Order_Date]])/3,0)</f>
        <v>Q4</v>
      </c>
      <c r="K511" s="2">
        <f>(Orders[[#This Row],[Profit]]/Orders[[#This Row],[Sales]])*100</f>
        <v>8.4926676228038716</v>
      </c>
    </row>
    <row r="512" spans="1:11" x14ac:dyDescent="0.3">
      <c r="A512" t="s">
        <v>756</v>
      </c>
      <c r="B512" s="1">
        <v>45456</v>
      </c>
      <c r="C512" t="s">
        <v>142</v>
      </c>
      <c r="D512" t="s">
        <v>266</v>
      </c>
      <c r="E512">
        <v>2</v>
      </c>
      <c r="F512">
        <v>22470</v>
      </c>
      <c r="G512">
        <v>2823.69</v>
      </c>
      <c r="H512" t="str">
        <f>TEXT(Orders[[#This Row],[Order_Date]],"mmmm")</f>
        <v>June</v>
      </c>
      <c r="I512">
        <f>YEAR(Orders[[#This Row],[Order_Date]])</f>
        <v>2024</v>
      </c>
      <c r="J512" t="str">
        <f>"Q"&amp;ROUNDUP(MONTH(Orders[[#This Row],[Order_Date]])/3,0)</f>
        <v>Q2</v>
      </c>
      <c r="K512" s="2">
        <f>(Orders[[#This Row],[Profit]]/Orders[[#This Row],[Sales]])*100</f>
        <v>12.566488651535382</v>
      </c>
    </row>
    <row r="513" spans="1:11" x14ac:dyDescent="0.3">
      <c r="A513" t="s">
        <v>757</v>
      </c>
      <c r="B513" s="1">
        <v>45429</v>
      </c>
      <c r="C513" t="s">
        <v>218</v>
      </c>
      <c r="D513" t="s">
        <v>316</v>
      </c>
      <c r="E513">
        <v>4</v>
      </c>
      <c r="F513">
        <v>217536</v>
      </c>
      <c r="G513">
        <v>37151.370000000003</v>
      </c>
      <c r="H513" t="str">
        <f>TEXT(Orders[[#This Row],[Order_Date]],"mmmm")</f>
        <v>May</v>
      </c>
      <c r="I513">
        <f>YEAR(Orders[[#This Row],[Order_Date]])</f>
        <v>2024</v>
      </c>
      <c r="J513" t="str">
        <f>"Q"&amp;ROUNDUP(MONTH(Orders[[#This Row],[Order_Date]])/3,0)</f>
        <v>Q2</v>
      </c>
      <c r="K513" s="2">
        <f>(Orders[[#This Row],[Profit]]/Orders[[#This Row],[Sales]])*100</f>
        <v>17.078262908208298</v>
      </c>
    </row>
    <row r="514" spans="1:11" x14ac:dyDescent="0.3">
      <c r="A514" t="s">
        <v>758</v>
      </c>
      <c r="B514" s="1">
        <v>45591</v>
      </c>
      <c r="C514" t="s">
        <v>150</v>
      </c>
      <c r="D514" t="s">
        <v>257</v>
      </c>
      <c r="E514">
        <v>4</v>
      </c>
      <c r="F514">
        <v>26988</v>
      </c>
      <c r="G514">
        <v>4249.0600000000004</v>
      </c>
      <c r="H514" t="str">
        <f>TEXT(Orders[[#This Row],[Order_Date]],"mmmm")</f>
        <v>October</v>
      </c>
      <c r="I514">
        <f>YEAR(Orders[[#This Row],[Order_Date]])</f>
        <v>2024</v>
      </c>
      <c r="J514" t="str">
        <f>"Q"&amp;ROUNDUP(MONTH(Orders[[#This Row],[Order_Date]])/3,0)</f>
        <v>Q4</v>
      </c>
      <c r="K514" s="2">
        <f>(Orders[[#This Row],[Profit]]/Orders[[#This Row],[Sales]])*100</f>
        <v>15.744256706684453</v>
      </c>
    </row>
    <row r="515" spans="1:11" x14ac:dyDescent="0.3">
      <c r="A515" t="s">
        <v>759</v>
      </c>
      <c r="B515" s="1">
        <v>45629</v>
      </c>
      <c r="C515" t="s">
        <v>170</v>
      </c>
      <c r="D515" t="s">
        <v>257</v>
      </c>
      <c r="E515">
        <v>3</v>
      </c>
      <c r="F515">
        <v>20241</v>
      </c>
      <c r="G515">
        <v>3374.06</v>
      </c>
      <c r="H515" t="str">
        <f>TEXT(Orders[[#This Row],[Order_Date]],"mmmm")</f>
        <v>December</v>
      </c>
      <c r="I515">
        <f>YEAR(Orders[[#This Row],[Order_Date]])</f>
        <v>2024</v>
      </c>
      <c r="J515" t="str">
        <f>"Q"&amp;ROUNDUP(MONTH(Orders[[#This Row],[Order_Date]])/3,0)</f>
        <v>Q4</v>
      </c>
      <c r="K515" s="2">
        <f>(Orders[[#This Row],[Profit]]/Orders[[#This Row],[Sales]])*100</f>
        <v>16.669433328392866</v>
      </c>
    </row>
    <row r="516" spans="1:11" x14ac:dyDescent="0.3">
      <c r="A516" t="s">
        <v>760</v>
      </c>
      <c r="B516" s="1">
        <v>45536</v>
      </c>
      <c r="C516" t="s">
        <v>120</v>
      </c>
      <c r="D516" t="s">
        <v>283</v>
      </c>
      <c r="E516">
        <v>5</v>
      </c>
      <c r="F516">
        <v>270935</v>
      </c>
      <c r="G516">
        <v>49166.080000000002</v>
      </c>
      <c r="H516" t="str">
        <f>TEXT(Orders[[#This Row],[Order_Date]],"mmmm")</f>
        <v>September</v>
      </c>
      <c r="I516">
        <f>YEAR(Orders[[#This Row],[Order_Date]])</f>
        <v>2024</v>
      </c>
      <c r="J516" t="str">
        <f>"Q"&amp;ROUNDUP(MONTH(Orders[[#This Row],[Order_Date]])/3,0)</f>
        <v>Q3</v>
      </c>
      <c r="K516" s="2">
        <f>(Orders[[#This Row],[Profit]]/Orders[[#This Row],[Sales]])*100</f>
        <v>18.146817502352963</v>
      </c>
    </row>
    <row r="517" spans="1:11" x14ac:dyDescent="0.3">
      <c r="A517" t="s">
        <v>761</v>
      </c>
      <c r="B517" s="1">
        <v>45367</v>
      </c>
      <c r="C517" t="s">
        <v>212</v>
      </c>
      <c r="D517" t="s">
        <v>227</v>
      </c>
      <c r="E517">
        <v>3</v>
      </c>
      <c r="F517">
        <v>28182</v>
      </c>
      <c r="G517">
        <v>2336.52</v>
      </c>
      <c r="H517" t="str">
        <f>TEXT(Orders[[#This Row],[Order_Date]],"mmmm")</f>
        <v>March</v>
      </c>
      <c r="I517">
        <f>YEAR(Orders[[#This Row],[Order_Date]])</f>
        <v>2024</v>
      </c>
      <c r="J517" t="str">
        <f>"Q"&amp;ROUNDUP(MONTH(Orders[[#This Row],[Order_Date]])/3,0)</f>
        <v>Q1</v>
      </c>
      <c r="K517" s="2">
        <f>(Orders[[#This Row],[Profit]]/Orders[[#This Row],[Sales]])*100</f>
        <v>8.2908239301681927</v>
      </c>
    </row>
    <row r="518" spans="1:11" x14ac:dyDescent="0.3">
      <c r="A518" t="s">
        <v>762</v>
      </c>
      <c r="B518" s="1">
        <v>45450</v>
      </c>
      <c r="C518" t="s">
        <v>146</v>
      </c>
      <c r="D518" t="s">
        <v>239</v>
      </c>
      <c r="E518">
        <v>3</v>
      </c>
      <c r="F518">
        <v>75477</v>
      </c>
      <c r="G518">
        <v>9363.6299999999992</v>
      </c>
      <c r="H518" t="str">
        <f>TEXT(Orders[[#This Row],[Order_Date]],"mmmm")</f>
        <v>June</v>
      </c>
      <c r="I518">
        <f>YEAR(Orders[[#This Row],[Order_Date]])</f>
        <v>2024</v>
      </c>
      <c r="J518" t="str">
        <f>"Q"&amp;ROUNDUP(MONTH(Orders[[#This Row],[Order_Date]])/3,0)</f>
        <v>Q2</v>
      </c>
      <c r="K518" s="2">
        <f>(Orders[[#This Row],[Profit]]/Orders[[#This Row],[Sales]])*100</f>
        <v>12.405938232839143</v>
      </c>
    </row>
    <row r="519" spans="1:11" x14ac:dyDescent="0.3">
      <c r="A519" t="s">
        <v>763</v>
      </c>
      <c r="B519" s="1">
        <v>45362</v>
      </c>
      <c r="C519" t="s">
        <v>158</v>
      </c>
      <c r="D519" t="s">
        <v>279</v>
      </c>
      <c r="E519">
        <v>2</v>
      </c>
      <c r="F519">
        <v>12440</v>
      </c>
      <c r="G519">
        <v>1221.1300000000001</v>
      </c>
      <c r="H519" t="str">
        <f>TEXT(Orders[[#This Row],[Order_Date]],"mmmm")</f>
        <v>March</v>
      </c>
      <c r="I519">
        <f>YEAR(Orders[[#This Row],[Order_Date]])</f>
        <v>2024</v>
      </c>
      <c r="J519" t="str">
        <f>"Q"&amp;ROUNDUP(MONTH(Orders[[#This Row],[Order_Date]])/3,0)</f>
        <v>Q1</v>
      </c>
      <c r="K519" s="2">
        <f>(Orders[[#This Row],[Profit]]/Orders[[#This Row],[Sales]])*100</f>
        <v>9.8161575562700971</v>
      </c>
    </row>
    <row r="520" spans="1:11" x14ac:dyDescent="0.3">
      <c r="A520" t="s">
        <v>764</v>
      </c>
      <c r="B520" s="1">
        <v>45583</v>
      </c>
      <c r="C520" t="s">
        <v>136</v>
      </c>
      <c r="D520" t="s">
        <v>247</v>
      </c>
      <c r="E520">
        <v>4</v>
      </c>
      <c r="F520">
        <v>44624</v>
      </c>
      <c r="G520">
        <v>7132.82</v>
      </c>
      <c r="H520" t="str">
        <f>TEXT(Orders[[#This Row],[Order_Date]],"mmmm")</f>
        <v>October</v>
      </c>
      <c r="I520">
        <f>YEAR(Orders[[#This Row],[Order_Date]])</f>
        <v>2024</v>
      </c>
      <c r="J520" t="str">
        <f>"Q"&amp;ROUNDUP(MONTH(Orders[[#This Row],[Order_Date]])/3,0)</f>
        <v>Q4</v>
      </c>
      <c r="K520" s="2">
        <f>(Orders[[#This Row],[Profit]]/Orders[[#This Row],[Sales]])*100</f>
        <v>15.984268555037648</v>
      </c>
    </row>
    <row r="521" spans="1:11" x14ac:dyDescent="0.3">
      <c r="A521" t="s">
        <v>765</v>
      </c>
      <c r="B521" s="1">
        <v>45299</v>
      </c>
      <c r="C521" t="s">
        <v>102</v>
      </c>
      <c r="D521" t="s">
        <v>241</v>
      </c>
      <c r="E521">
        <v>3</v>
      </c>
      <c r="F521">
        <v>25086</v>
      </c>
      <c r="G521">
        <v>2540.5</v>
      </c>
      <c r="H521" t="str">
        <f>TEXT(Orders[[#This Row],[Order_Date]],"mmmm")</f>
        <v>January</v>
      </c>
      <c r="I521">
        <f>YEAR(Orders[[#This Row],[Order_Date]])</f>
        <v>2024</v>
      </c>
      <c r="J521" t="str">
        <f>"Q"&amp;ROUNDUP(MONTH(Orders[[#This Row],[Order_Date]])/3,0)</f>
        <v>Q1</v>
      </c>
      <c r="K521" s="2">
        <f>(Orders[[#This Row],[Profit]]/Orders[[#This Row],[Sales]])*100</f>
        <v>10.127162560790879</v>
      </c>
    </row>
    <row r="522" spans="1:11" x14ac:dyDescent="0.3">
      <c r="A522" t="s">
        <v>766</v>
      </c>
      <c r="B522" s="1">
        <v>45325</v>
      </c>
      <c r="C522" t="s">
        <v>156</v>
      </c>
      <c r="D522" t="s">
        <v>263</v>
      </c>
      <c r="E522">
        <v>3</v>
      </c>
      <c r="F522">
        <v>21465</v>
      </c>
      <c r="G522">
        <v>3988.78</v>
      </c>
      <c r="H522" t="str">
        <f>TEXT(Orders[[#This Row],[Order_Date]],"mmmm")</f>
        <v>February</v>
      </c>
      <c r="I522">
        <f>YEAR(Orders[[#This Row],[Order_Date]])</f>
        <v>2024</v>
      </c>
      <c r="J522" t="str">
        <f>"Q"&amp;ROUNDUP(MONTH(Orders[[#This Row],[Order_Date]])/3,0)</f>
        <v>Q1</v>
      </c>
      <c r="K522" s="2">
        <f>(Orders[[#This Row],[Profit]]/Orders[[#This Row],[Sales]])*100</f>
        <v>18.582716049382718</v>
      </c>
    </row>
    <row r="523" spans="1:11" x14ac:dyDescent="0.3">
      <c r="A523" t="s">
        <v>767</v>
      </c>
      <c r="B523" s="1">
        <v>45548</v>
      </c>
      <c r="C523" t="s">
        <v>138</v>
      </c>
      <c r="D523" t="s">
        <v>279</v>
      </c>
      <c r="E523">
        <v>1</v>
      </c>
      <c r="F523">
        <v>6220</v>
      </c>
      <c r="G523">
        <v>1181.31</v>
      </c>
      <c r="H523" t="str">
        <f>TEXT(Orders[[#This Row],[Order_Date]],"mmmm")</f>
        <v>September</v>
      </c>
      <c r="I523">
        <f>YEAR(Orders[[#This Row],[Order_Date]])</f>
        <v>2024</v>
      </c>
      <c r="J523" t="str">
        <f>"Q"&amp;ROUNDUP(MONTH(Orders[[#This Row],[Order_Date]])/3,0)</f>
        <v>Q3</v>
      </c>
      <c r="K523" s="2">
        <f>(Orders[[#This Row],[Profit]]/Orders[[#This Row],[Sales]])*100</f>
        <v>18.992122186495173</v>
      </c>
    </row>
    <row r="524" spans="1:11" x14ac:dyDescent="0.3">
      <c r="A524" t="s">
        <v>768</v>
      </c>
      <c r="B524" s="1">
        <v>45342</v>
      </c>
      <c r="C524" t="s">
        <v>196</v>
      </c>
      <c r="D524" t="s">
        <v>344</v>
      </c>
      <c r="E524">
        <v>5</v>
      </c>
      <c r="F524">
        <v>45505</v>
      </c>
      <c r="G524">
        <v>6745.88</v>
      </c>
      <c r="H524" t="str">
        <f>TEXT(Orders[[#This Row],[Order_Date]],"mmmm")</f>
        <v>February</v>
      </c>
      <c r="I524">
        <f>YEAR(Orders[[#This Row],[Order_Date]])</f>
        <v>2024</v>
      </c>
      <c r="J524" t="str">
        <f>"Q"&amp;ROUNDUP(MONTH(Orders[[#This Row],[Order_Date]])/3,0)</f>
        <v>Q1</v>
      </c>
      <c r="K524" s="2">
        <f>(Orders[[#This Row],[Profit]]/Orders[[#This Row],[Sales]])*100</f>
        <v>14.824480826282826</v>
      </c>
    </row>
    <row r="525" spans="1:11" x14ac:dyDescent="0.3">
      <c r="A525" t="s">
        <v>769</v>
      </c>
      <c r="B525" s="1">
        <v>45648</v>
      </c>
      <c r="C525" t="s">
        <v>194</v>
      </c>
      <c r="D525" t="s">
        <v>233</v>
      </c>
      <c r="E525">
        <v>5</v>
      </c>
      <c r="F525">
        <v>278475</v>
      </c>
      <c r="G525">
        <v>51617.87</v>
      </c>
      <c r="H525" t="str">
        <f>TEXT(Orders[[#This Row],[Order_Date]],"mmmm")</f>
        <v>December</v>
      </c>
      <c r="I525">
        <f>YEAR(Orders[[#This Row],[Order_Date]])</f>
        <v>2024</v>
      </c>
      <c r="J525" t="str">
        <f>"Q"&amp;ROUNDUP(MONTH(Orders[[#This Row],[Order_Date]])/3,0)</f>
        <v>Q4</v>
      </c>
      <c r="K525" s="2">
        <f>(Orders[[#This Row],[Profit]]/Orders[[#This Row],[Sales]])*100</f>
        <v>18.535908070742437</v>
      </c>
    </row>
    <row r="526" spans="1:11" x14ac:dyDescent="0.3">
      <c r="A526" t="s">
        <v>770</v>
      </c>
      <c r="B526" s="1">
        <v>45547</v>
      </c>
      <c r="C526" t="s">
        <v>196</v>
      </c>
      <c r="D526" t="s">
        <v>245</v>
      </c>
      <c r="E526">
        <v>4</v>
      </c>
      <c r="F526">
        <v>96944</v>
      </c>
      <c r="G526">
        <v>9263.67</v>
      </c>
      <c r="H526" t="str">
        <f>TEXT(Orders[[#This Row],[Order_Date]],"mmmm")</f>
        <v>September</v>
      </c>
      <c r="I526">
        <f>YEAR(Orders[[#This Row],[Order_Date]])</f>
        <v>2024</v>
      </c>
      <c r="J526" t="str">
        <f>"Q"&amp;ROUNDUP(MONTH(Orders[[#This Row],[Order_Date]])/3,0)</f>
        <v>Q3</v>
      </c>
      <c r="K526" s="2">
        <f>(Orders[[#This Row],[Profit]]/Orders[[#This Row],[Sales]])*100</f>
        <v>9.5556919458656555</v>
      </c>
    </row>
    <row r="527" spans="1:11" x14ac:dyDescent="0.3">
      <c r="A527" t="s">
        <v>771</v>
      </c>
      <c r="B527" s="1">
        <v>45314</v>
      </c>
      <c r="C527" t="s">
        <v>154</v>
      </c>
      <c r="D527" t="s">
        <v>233</v>
      </c>
      <c r="E527">
        <v>5</v>
      </c>
      <c r="F527">
        <v>278475</v>
      </c>
      <c r="G527">
        <v>63643.37</v>
      </c>
      <c r="H527" t="str">
        <f>TEXT(Orders[[#This Row],[Order_Date]],"mmmm")</f>
        <v>January</v>
      </c>
      <c r="I527">
        <f>YEAR(Orders[[#This Row],[Order_Date]])</f>
        <v>2024</v>
      </c>
      <c r="J527" t="str">
        <f>"Q"&amp;ROUNDUP(MONTH(Orders[[#This Row],[Order_Date]])/3,0)</f>
        <v>Q1</v>
      </c>
      <c r="K527" s="2">
        <f>(Orders[[#This Row],[Profit]]/Orders[[#This Row],[Sales]])*100</f>
        <v>22.854249034922347</v>
      </c>
    </row>
    <row r="528" spans="1:11" x14ac:dyDescent="0.3">
      <c r="A528" t="s">
        <v>772</v>
      </c>
      <c r="B528" s="1">
        <v>45313</v>
      </c>
      <c r="C528" t="s">
        <v>68</v>
      </c>
      <c r="D528" t="s">
        <v>257</v>
      </c>
      <c r="E528">
        <v>1</v>
      </c>
      <c r="F528">
        <v>6747</v>
      </c>
      <c r="G528">
        <v>1247.6099999999999</v>
      </c>
      <c r="H528" t="str">
        <f>TEXT(Orders[[#This Row],[Order_Date]],"mmmm")</f>
        <v>January</v>
      </c>
      <c r="I528">
        <f>YEAR(Orders[[#This Row],[Order_Date]])</f>
        <v>2024</v>
      </c>
      <c r="J528" t="str">
        <f>"Q"&amp;ROUNDUP(MONTH(Orders[[#This Row],[Order_Date]])/3,0)</f>
        <v>Q1</v>
      </c>
      <c r="K528" s="2">
        <f>(Orders[[#This Row],[Profit]]/Orders[[#This Row],[Sales]])*100</f>
        <v>18.491329479768783</v>
      </c>
    </row>
    <row r="529" spans="1:11" x14ac:dyDescent="0.3">
      <c r="A529" t="s">
        <v>773</v>
      </c>
      <c r="B529" s="1">
        <v>45394</v>
      </c>
      <c r="C529" t="s">
        <v>49</v>
      </c>
      <c r="D529" t="s">
        <v>241</v>
      </c>
      <c r="E529">
        <v>5</v>
      </c>
      <c r="F529">
        <v>41810</v>
      </c>
      <c r="G529">
        <v>5513.42</v>
      </c>
      <c r="H529" t="str">
        <f>TEXT(Orders[[#This Row],[Order_Date]],"mmmm")</f>
        <v>April</v>
      </c>
      <c r="I529">
        <f>YEAR(Orders[[#This Row],[Order_Date]])</f>
        <v>2024</v>
      </c>
      <c r="J529" t="str">
        <f>"Q"&amp;ROUNDUP(MONTH(Orders[[#This Row],[Order_Date]])/3,0)</f>
        <v>Q2</v>
      </c>
      <c r="K529" s="2">
        <f>(Orders[[#This Row],[Profit]]/Orders[[#This Row],[Sales]])*100</f>
        <v>13.186845252331977</v>
      </c>
    </row>
    <row r="530" spans="1:11" x14ac:dyDescent="0.3">
      <c r="A530" t="s">
        <v>774</v>
      </c>
      <c r="B530" s="1">
        <v>45403</v>
      </c>
      <c r="C530" t="s">
        <v>60</v>
      </c>
      <c r="D530" t="s">
        <v>241</v>
      </c>
      <c r="E530">
        <v>2</v>
      </c>
      <c r="F530">
        <v>16724</v>
      </c>
      <c r="G530">
        <v>1985.95</v>
      </c>
      <c r="H530" t="str">
        <f>TEXT(Orders[[#This Row],[Order_Date]],"mmmm")</f>
        <v>April</v>
      </c>
      <c r="I530">
        <f>YEAR(Orders[[#This Row],[Order_Date]])</f>
        <v>2024</v>
      </c>
      <c r="J530" t="str">
        <f>"Q"&amp;ROUNDUP(MONTH(Orders[[#This Row],[Order_Date]])/3,0)</f>
        <v>Q2</v>
      </c>
      <c r="K530" s="2">
        <f>(Orders[[#This Row],[Profit]]/Orders[[#This Row],[Sales]])*100</f>
        <v>11.874850514231046</v>
      </c>
    </row>
    <row r="531" spans="1:11" x14ac:dyDescent="0.3">
      <c r="A531" t="s">
        <v>775</v>
      </c>
      <c r="B531" s="1">
        <v>45580</v>
      </c>
      <c r="C531" t="s">
        <v>41</v>
      </c>
      <c r="D531" t="s">
        <v>255</v>
      </c>
      <c r="E531">
        <v>3</v>
      </c>
      <c r="F531">
        <v>76824</v>
      </c>
      <c r="G531">
        <v>17876.52</v>
      </c>
      <c r="H531" t="str">
        <f>TEXT(Orders[[#This Row],[Order_Date]],"mmmm")</f>
        <v>October</v>
      </c>
      <c r="I531">
        <f>YEAR(Orders[[#This Row],[Order_Date]])</f>
        <v>2024</v>
      </c>
      <c r="J531" t="str">
        <f>"Q"&amp;ROUNDUP(MONTH(Orders[[#This Row],[Order_Date]])/3,0)</f>
        <v>Q4</v>
      </c>
      <c r="K531" s="2">
        <f>(Orders[[#This Row],[Profit]]/Orders[[#This Row],[Sales]])*100</f>
        <v>23.269447047797563</v>
      </c>
    </row>
    <row r="532" spans="1:11" x14ac:dyDescent="0.3">
      <c r="A532" t="s">
        <v>776</v>
      </c>
      <c r="B532" s="1">
        <v>45587</v>
      </c>
      <c r="C532" t="s">
        <v>130</v>
      </c>
      <c r="D532" t="s">
        <v>231</v>
      </c>
      <c r="E532">
        <v>5</v>
      </c>
      <c r="F532">
        <v>274685</v>
      </c>
      <c r="G532">
        <v>28264.65</v>
      </c>
      <c r="H532" t="str">
        <f>TEXT(Orders[[#This Row],[Order_Date]],"mmmm")</f>
        <v>October</v>
      </c>
      <c r="I532">
        <f>YEAR(Orders[[#This Row],[Order_Date]])</f>
        <v>2024</v>
      </c>
      <c r="J532" t="str">
        <f>"Q"&amp;ROUNDUP(MONTH(Orders[[#This Row],[Order_Date]])/3,0)</f>
        <v>Q4</v>
      </c>
      <c r="K532" s="2">
        <f>(Orders[[#This Row],[Profit]]/Orders[[#This Row],[Sales]])*100</f>
        <v>10.289841090703899</v>
      </c>
    </row>
    <row r="533" spans="1:11" x14ac:dyDescent="0.3">
      <c r="A533" t="s">
        <v>777</v>
      </c>
      <c r="B533" s="1">
        <v>45303</v>
      </c>
      <c r="C533" t="s">
        <v>82</v>
      </c>
      <c r="D533" t="s">
        <v>237</v>
      </c>
      <c r="E533">
        <v>5</v>
      </c>
      <c r="F533">
        <v>43130</v>
      </c>
      <c r="G533">
        <v>5392.33</v>
      </c>
      <c r="H533" t="str">
        <f>TEXT(Orders[[#This Row],[Order_Date]],"mmmm")</f>
        <v>January</v>
      </c>
      <c r="I533">
        <f>YEAR(Orders[[#This Row],[Order_Date]])</f>
        <v>2024</v>
      </c>
      <c r="J533" t="str">
        <f>"Q"&amp;ROUNDUP(MONTH(Orders[[#This Row],[Order_Date]])/3,0)</f>
        <v>Q1</v>
      </c>
      <c r="K533" s="2">
        <f>(Orders[[#This Row],[Profit]]/Orders[[#This Row],[Sales]])*100</f>
        <v>12.50250405750058</v>
      </c>
    </row>
    <row r="534" spans="1:11" x14ac:dyDescent="0.3">
      <c r="A534" t="s">
        <v>778</v>
      </c>
      <c r="B534" s="1">
        <v>45508</v>
      </c>
      <c r="C534" t="s">
        <v>130</v>
      </c>
      <c r="D534" t="s">
        <v>235</v>
      </c>
      <c r="E534">
        <v>3</v>
      </c>
      <c r="F534">
        <v>34026</v>
      </c>
      <c r="G534">
        <v>7601</v>
      </c>
      <c r="H534" t="str">
        <f>TEXT(Orders[[#This Row],[Order_Date]],"mmmm")</f>
        <v>August</v>
      </c>
      <c r="I534">
        <f>YEAR(Orders[[#This Row],[Order_Date]])</f>
        <v>2024</v>
      </c>
      <c r="J534" t="str">
        <f>"Q"&amp;ROUNDUP(MONTH(Orders[[#This Row],[Order_Date]])/3,0)</f>
        <v>Q3</v>
      </c>
      <c r="K534" s="2">
        <f>(Orders[[#This Row],[Profit]]/Orders[[#This Row],[Sales]])*100</f>
        <v>22.338799741374242</v>
      </c>
    </row>
    <row r="535" spans="1:11" x14ac:dyDescent="0.3">
      <c r="A535" t="s">
        <v>779</v>
      </c>
      <c r="B535" s="1">
        <v>45639</v>
      </c>
      <c r="C535" t="s">
        <v>130</v>
      </c>
      <c r="D535" t="s">
        <v>237</v>
      </c>
      <c r="E535">
        <v>2</v>
      </c>
      <c r="F535">
        <v>17252</v>
      </c>
      <c r="G535">
        <v>2010.09</v>
      </c>
      <c r="H535" t="str">
        <f>TEXT(Orders[[#This Row],[Order_Date]],"mmmm")</f>
        <v>December</v>
      </c>
      <c r="I535">
        <f>YEAR(Orders[[#This Row],[Order_Date]])</f>
        <v>2024</v>
      </c>
      <c r="J535" t="str">
        <f>"Q"&amp;ROUNDUP(MONTH(Orders[[#This Row],[Order_Date]])/3,0)</f>
        <v>Q4</v>
      </c>
      <c r="K535" s="2">
        <f>(Orders[[#This Row],[Profit]]/Orders[[#This Row],[Sales]])*100</f>
        <v>11.65134477162068</v>
      </c>
    </row>
    <row r="536" spans="1:11" x14ac:dyDescent="0.3">
      <c r="A536" t="s">
        <v>780</v>
      </c>
      <c r="B536" s="1">
        <v>45473</v>
      </c>
      <c r="C536" t="s">
        <v>24</v>
      </c>
      <c r="D536" t="s">
        <v>283</v>
      </c>
      <c r="E536">
        <v>4</v>
      </c>
      <c r="F536">
        <v>216748</v>
      </c>
      <c r="G536">
        <v>30412.58</v>
      </c>
      <c r="H536" t="str">
        <f>TEXT(Orders[[#This Row],[Order_Date]],"mmmm")</f>
        <v>June</v>
      </c>
      <c r="I536">
        <f>YEAR(Orders[[#This Row],[Order_Date]])</f>
        <v>2024</v>
      </c>
      <c r="J536" t="str">
        <f>"Q"&amp;ROUNDUP(MONTH(Orders[[#This Row],[Order_Date]])/3,0)</f>
        <v>Q2</v>
      </c>
      <c r="K536" s="2">
        <f>(Orders[[#This Row],[Profit]]/Orders[[#This Row],[Sales]])*100</f>
        <v>14.031308247365606</v>
      </c>
    </row>
    <row r="537" spans="1:11" x14ac:dyDescent="0.3">
      <c r="A537" t="s">
        <v>781</v>
      </c>
      <c r="B537" s="1">
        <v>45409</v>
      </c>
      <c r="C537" t="s">
        <v>150</v>
      </c>
      <c r="D537" t="s">
        <v>260</v>
      </c>
      <c r="E537">
        <v>2</v>
      </c>
      <c r="F537">
        <v>111900</v>
      </c>
      <c r="G537">
        <v>23964.69</v>
      </c>
      <c r="H537" t="str">
        <f>TEXT(Orders[[#This Row],[Order_Date]],"mmmm")</f>
        <v>April</v>
      </c>
      <c r="I537">
        <f>YEAR(Orders[[#This Row],[Order_Date]])</f>
        <v>2024</v>
      </c>
      <c r="J537" t="str">
        <f>"Q"&amp;ROUNDUP(MONTH(Orders[[#This Row],[Order_Date]])/3,0)</f>
        <v>Q2</v>
      </c>
      <c r="K537" s="2">
        <f>(Orders[[#This Row],[Profit]]/Orders[[#This Row],[Sales]])*100</f>
        <v>21.416166219839141</v>
      </c>
    </row>
    <row r="538" spans="1:11" x14ac:dyDescent="0.3">
      <c r="A538" t="s">
        <v>782</v>
      </c>
      <c r="B538" s="1">
        <v>45456</v>
      </c>
      <c r="C538" t="s">
        <v>31</v>
      </c>
      <c r="D538" t="s">
        <v>253</v>
      </c>
      <c r="E538">
        <v>1</v>
      </c>
      <c r="F538">
        <v>6025</v>
      </c>
      <c r="G538">
        <v>1370.7</v>
      </c>
      <c r="H538" t="str">
        <f>TEXT(Orders[[#This Row],[Order_Date]],"mmmm")</f>
        <v>June</v>
      </c>
      <c r="I538">
        <f>YEAR(Orders[[#This Row],[Order_Date]])</f>
        <v>2024</v>
      </c>
      <c r="J538" t="str">
        <f>"Q"&amp;ROUNDUP(MONTH(Orders[[#This Row],[Order_Date]])/3,0)</f>
        <v>Q2</v>
      </c>
      <c r="K538" s="2">
        <f>(Orders[[#This Row],[Profit]]/Orders[[#This Row],[Sales]])*100</f>
        <v>22.750207468879669</v>
      </c>
    </row>
    <row r="539" spans="1:11" x14ac:dyDescent="0.3">
      <c r="A539" t="s">
        <v>783</v>
      </c>
      <c r="B539" s="1">
        <v>45652</v>
      </c>
      <c r="C539" t="s">
        <v>74</v>
      </c>
      <c r="D539" t="s">
        <v>227</v>
      </c>
      <c r="E539">
        <v>3</v>
      </c>
      <c r="F539">
        <v>28182</v>
      </c>
      <c r="G539">
        <v>2997.11</v>
      </c>
      <c r="H539" t="str">
        <f>TEXT(Orders[[#This Row],[Order_Date]],"mmmm")</f>
        <v>December</v>
      </c>
      <c r="I539">
        <f>YEAR(Orders[[#This Row],[Order_Date]])</f>
        <v>2024</v>
      </c>
      <c r="J539" t="str">
        <f>"Q"&amp;ROUNDUP(MONTH(Orders[[#This Row],[Order_Date]])/3,0)</f>
        <v>Q4</v>
      </c>
      <c r="K539" s="2">
        <f>(Orders[[#This Row],[Profit]]/Orders[[#This Row],[Sales]])*100</f>
        <v>10.634837839755873</v>
      </c>
    </row>
    <row r="540" spans="1:11" x14ac:dyDescent="0.3">
      <c r="A540" t="s">
        <v>784</v>
      </c>
      <c r="B540" s="1">
        <v>45605</v>
      </c>
      <c r="C540" t="s">
        <v>152</v>
      </c>
      <c r="D540" t="s">
        <v>229</v>
      </c>
      <c r="E540">
        <v>1</v>
      </c>
      <c r="F540">
        <v>8873</v>
      </c>
      <c r="G540">
        <v>1430.26</v>
      </c>
      <c r="H540" t="str">
        <f>TEXT(Orders[[#This Row],[Order_Date]],"mmmm")</f>
        <v>November</v>
      </c>
      <c r="I540">
        <f>YEAR(Orders[[#This Row],[Order_Date]])</f>
        <v>2024</v>
      </c>
      <c r="J540" t="str">
        <f>"Q"&amp;ROUNDUP(MONTH(Orders[[#This Row],[Order_Date]])/3,0)</f>
        <v>Q4</v>
      </c>
      <c r="K540" s="2">
        <f>(Orders[[#This Row],[Profit]]/Orders[[#This Row],[Sales]])*100</f>
        <v>16.119238138171983</v>
      </c>
    </row>
    <row r="541" spans="1:11" x14ac:dyDescent="0.3">
      <c r="A541" t="s">
        <v>785</v>
      </c>
      <c r="B541" s="1">
        <v>45651</v>
      </c>
      <c r="C541" t="s">
        <v>7</v>
      </c>
      <c r="D541" t="s">
        <v>316</v>
      </c>
      <c r="E541">
        <v>3</v>
      </c>
      <c r="F541">
        <v>163152</v>
      </c>
      <c r="G541">
        <v>20333.04</v>
      </c>
      <c r="H541" t="str">
        <f>TEXT(Orders[[#This Row],[Order_Date]],"mmmm")</f>
        <v>December</v>
      </c>
      <c r="I541">
        <f>YEAR(Orders[[#This Row],[Order_Date]])</f>
        <v>2024</v>
      </c>
      <c r="J541" t="str">
        <f>"Q"&amp;ROUNDUP(MONTH(Orders[[#This Row],[Order_Date]])/3,0)</f>
        <v>Q4</v>
      </c>
      <c r="K541" s="2">
        <f>(Orders[[#This Row],[Profit]]/Orders[[#This Row],[Sales]])*100</f>
        <v>12.462636069432186</v>
      </c>
    </row>
    <row r="542" spans="1:11" x14ac:dyDescent="0.3">
      <c r="A542" t="s">
        <v>786</v>
      </c>
      <c r="B542" s="1">
        <v>45486</v>
      </c>
      <c r="C542" t="s">
        <v>94</v>
      </c>
      <c r="D542" t="s">
        <v>263</v>
      </c>
      <c r="E542">
        <v>2</v>
      </c>
      <c r="F542">
        <v>14310</v>
      </c>
      <c r="G542">
        <v>2822.27</v>
      </c>
      <c r="H542" t="str">
        <f>TEXT(Orders[[#This Row],[Order_Date]],"mmmm")</f>
        <v>July</v>
      </c>
      <c r="I542">
        <f>YEAR(Orders[[#This Row],[Order_Date]])</f>
        <v>2024</v>
      </c>
      <c r="J542" t="str">
        <f>"Q"&amp;ROUNDUP(MONTH(Orders[[#This Row],[Order_Date]])/3,0)</f>
        <v>Q3</v>
      </c>
      <c r="K542" s="2">
        <f>(Orders[[#This Row],[Profit]]/Orders[[#This Row],[Sales]])*100</f>
        <v>19.722361984626136</v>
      </c>
    </row>
    <row r="543" spans="1:11" x14ac:dyDescent="0.3">
      <c r="A543" t="s">
        <v>787</v>
      </c>
      <c r="B543" s="1">
        <v>45304</v>
      </c>
      <c r="C543" t="s">
        <v>188</v>
      </c>
      <c r="D543" t="s">
        <v>247</v>
      </c>
      <c r="E543">
        <v>4</v>
      </c>
      <c r="F543">
        <v>44624</v>
      </c>
      <c r="G543">
        <v>7037.22</v>
      </c>
      <c r="H543" t="str">
        <f>TEXT(Orders[[#This Row],[Order_Date]],"mmmm")</f>
        <v>January</v>
      </c>
      <c r="I543">
        <f>YEAR(Orders[[#This Row],[Order_Date]])</f>
        <v>2024</v>
      </c>
      <c r="J543" t="str">
        <f>"Q"&amp;ROUNDUP(MONTH(Orders[[#This Row],[Order_Date]])/3,0)</f>
        <v>Q1</v>
      </c>
      <c r="K543" s="2">
        <f>(Orders[[#This Row],[Profit]]/Orders[[#This Row],[Sales]])*100</f>
        <v>15.770034062387953</v>
      </c>
    </row>
    <row r="544" spans="1:11" x14ac:dyDescent="0.3">
      <c r="A544" t="s">
        <v>788</v>
      </c>
      <c r="B544" s="1">
        <v>45443</v>
      </c>
      <c r="C544" t="s">
        <v>51</v>
      </c>
      <c r="D544" t="s">
        <v>227</v>
      </c>
      <c r="E544">
        <v>4</v>
      </c>
      <c r="F544">
        <v>37576</v>
      </c>
      <c r="G544">
        <v>7129.06</v>
      </c>
      <c r="H544" t="str">
        <f>TEXT(Orders[[#This Row],[Order_Date]],"mmmm")</f>
        <v>May</v>
      </c>
      <c r="I544">
        <f>YEAR(Orders[[#This Row],[Order_Date]])</f>
        <v>2024</v>
      </c>
      <c r="J544" t="str">
        <f>"Q"&amp;ROUNDUP(MONTH(Orders[[#This Row],[Order_Date]])/3,0)</f>
        <v>Q2</v>
      </c>
      <c r="K544" s="2">
        <f>(Orders[[#This Row],[Profit]]/Orders[[#This Row],[Sales]])*100</f>
        <v>18.972375984671068</v>
      </c>
    </row>
    <row r="545" spans="1:11" x14ac:dyDescent="0.3">
      <c r="A545" t="s">
        <v>789</v>
      </c>
      <c r="B545" s="1">
        <v>45462</v>
      </c>
      <c r="C545" t="s">
        <v>198</v>
      </c>
      <c r="D545" t="s">
        <v>235</v>
      </c>
      <c r="E545">
        <v>4</v>
      </c>
      <c r="F545">
        <v>45368</v>
      </c>
      <c r="G545">
        <v>5178.92</v>
      </c>
      <c r="H545" t="str">
        <f>TEXT(Orders[[#This Row],[Order_Date]],"mmmm")</f>
        <v>June</v>
      </c>
      <c r="I545">
        <f>YEAR(Orders[[#This Row],[Order_Date]])</f>
        <v>2024</v>
      </c>
      <c r="J545" t="str">
        <f>"Q"&amp;ROUNDUP(MONTH(Orders[[#This Row],[Order_Date]])/3,0)</f>
        <v>Q2</v>
      </c>
      <c r="K545" s="2">
        <f>(Orders[[#This Row],[Profit]]/Orders[[#This Row],[Sales]])*100</f>
        <v>11.415358843237525</v>
      </c>
    </row>
    <row r="546" spans="1:11" x14ac:dyDescent="0.3">
      <c r="A546" t="s">
        <v>790</v>
      </c>
      <c r="B546" s="1">
        <v>45351</v>
      </c>
      <c r="C546" t="s">
        <v>43</v>
      </c>
      <c r="D546" t="s">
        <v>227</v>
      </c>
      <c r="E546">
        <v>2</v>
      </c>
      <c r="F546">
        <v>18788</v>
      </c>
      <c r="G546">
        <v>3073.44</v>
      </c>
      <c r="H546" t="str">
        <f>TEXT(Orders[[#This Row],[Order_Date]],"mmmm")</f>
        <v>February</v>
      </c>
      <c r="I546">
        <f>YEAR(Orders[[#This Row],[Order_Date]])</f>
        <v>2024</v>
      </c>
      <c r="J546" t="str">
        <f>"Q"&amp;ROUNDUP(MONTH(Orders[[#This Row],[Order_Date]])/3,0)</f>
        <v>Q1</v>
      </c>
      <c r="K546" s="2">
        <f>(Orders[[#This Row],[Profit]]/Orders[[#This Row],[Sales]])*100</f>
        <v>16.358526719182457</v>
      </c>
    </row>
    <row r="547" spans="1:11" x14ac:dyDescent="0.3">
      <c r="A547" t="s">
        <v>791</v>
      </c>
      <c r="B547" s="1">
        <v>45596</v>
      </c>
      <c r="C547" t="s">
        <v>64</v>
      </c>
      <c r="D547" t="s">
        <v>316</v>
      </c>
      <c r="E547">
        <v>3</v>
      </c>
      <c r="F547">
        <v>163152</v>
      </c>
      <c r="G547">
        <v>32656.73</v>
      </c>
      <c r="H547" t="str">
        <f>TEXT(Orders[[#This Row],[Order_Date]],"mmmm")</f>
        <v>October</v>
      </c>
      <c r="I547">
        <f>YEAR(Orders[[#This Row],[Order_Date]])</f>
        <v>2024</v>
      </c>
      <c r="J547" t="str">
        <f>"Q"&amp;ROUNDUP(MONTH(Orders[[#This Row],[Order_Date]])/3,0)</f>
        <v>Q4</v>
      </c>
      <c r="K547" s="2">
        <f>(Orders[[#This Row],[Profit]]/Orders[[#This Row],[Sales]])*100</f>
        <v>20.016138324997549</v>
      </c>
    </row>
    <row r="548" spans="1:11" x14ac:dyDescent="0.3">
      <c r="A548" t="s">
        <v>792</v>
      </c>
      <c r="B548" s="1">
        <v>45507</v>
      </c>
      <c r="C548" t="s">
        <v>182</v>
      </c>
      <c r="D548" t="s">
        <v>235</v>
      </c>
      <c r="E548">
        <v>4</v>
      </c>
      <c r="F548">
        <v>45368</v>
      </c>
      <c r="G548">
        <v>6717</v>
      </c>
      <c r="H548" t="str">
        <f>TEXT(Orders[[#This Row],[Order_Date]],"mmmm")</f>
        <v>August</v>
      </c>
      <c r="I548">
        <f>YEAR(Orders[[#This Row],[Order_Date]])</f>
        <v>2024</v>
      </c>
      <c r="J548" t="str">
        <f>"Q"&amp;ROUNDUP(MONTH(Orders[[#This Row],[Order_Date]])/3,0)</f>
        <v>Q3</v>
      </c>
      <c r="K548" s="2">
        <f>(Orders[[#This Row],[Profit]]/Orders[[#This Row],[Sales]])*100</f>
        <v>14.80558984306119</v>
      </c>
    </row>
    <row r="549" spans="1:11" x14ac:dyDescent="0.3">
      <c r="A549" t="s">
        <v>793</v>
      </c>
      <c r="B549" s="1">
        <v>45364</v>
      </c>
      <c r="C549" t="s">
        <v>212</v>
      </c>
      <c r="D549" t="s">
        <v>344</v>
      </c>
      <c r="E549">
        <v>4</v>
      </c>
      <c r="F549">
        <v>36404</v>
      </c>
      <c r="G549">
        <v>8762.7900000000009</v>
      </c>
      <c r="H549" t="str">
        <f>TEXT(Orders[[#This Row],[Order_Date]],"mmmm")</f>
        <v>March</v>
      </c>
      <c r="I549">
        <f>YEAR(Orders[[#This Row],[Order_Date]])</f>
        <v>2024</v>
      </c>
      <c r="J549" t="str">
        <f>"Q"&amp;ROUNDUP(MONTH(Orders[[#This Row],[Order_Date]])/3,0)</f>
        <v>Q1</v>
      </c>
      <c r="K549" s="2">
        <f>(Orders[[#This Row],[Profit]]/Orders[[#This Row],[Sales]])*100</f>
        <v>24.070953741347108</v>
      </c>
    </row>
    <row r="550" spans="1:11" x14ac:dyDescent="0.3">
      <c r="A550" t="s">
        <v>794</v>
      </c>
      <c r="B550" s="1">
        <v>45607</v>
      </c>
      <c r="C550" t="s">
        <v>128</v>
      </c>
      <c r="D550" t="s">
        <v>260</v>
      </c>
      <c r="E550">
        <v>1</v>
      </c>
      <c r="F550">
        <v>55950</v>
      </c>
      <c r="G550">
        <v>7257.92</v>
      </c>
      <c r="H550" t="str">
        <f>TEXT(Orders[[#This Row],[Order_Date]],"mmmm")</f>
        <v>November</v>
      </c>
      <c r="I550">
        <f>YEAR(Orders[[#This Row],[Order_Date]])</f>
        <v>2024</v>
      </c>
      <c r="J550" t="str">
        <f>"Q"&amp;ROUNDUP(MONTH(Orders[[#This Row],[Order_Date]])/3,0)</f>
        <v>Q4</v>
      </c>
      <c r="K550" s="2">
        <f>(Orders[[#This Row],[Profit]]/Orders[[#This Row],[Sales]])*100</f>
        <v>12.972153708668454</v>
      </c>
    </row>
    <row r="551" spans="1:11" x14ac:dyDescent="0.3">
      <c r="A551" t="s">
        <v>795</v>
      </c>
      <c r="B551" s="1">
        <v>45537</v>
      </c>
      <c r="C551" t="s">
        <v>130</v>
      </c>
      <c r="D551" t="s">
        <v>239</v>
      </c>
      <c r="E551">
        <v>2</v>
      </c>
      <c r="F551">
        <v>50318</v>
      </c>
      <c r="G551">
        <v>9142.6</v>
      </c>
      <c r="H551" t="str">
        <f>TEXT(Orders[[#This Row],[Order_Date]],"mmmm")</f>
        <v>September</v>
      </c>
      <c r="I551">
        <f>YEAR(Orders[[#This Row],[Order_Date]])</f>
        <v>2024</v>
      </c>
      <c r="J551" t="str">
        <f>"Q"&amp;ROUNDUP(MONTH(Orders[[#This Row],[Order_Date]])/3,0)</f>
        <v>Q3</v>
      </c>
      <c r="K551" s="2">
        <f>(Orders[[#This Row],[Profit]]/Orders[[#This Row],[Sales]])*100</f>
        <v>18.169641082713937</v>
      </c>
    </row>
    <row r="552" spans="1:11" x14ac:dyDescent="0.3">
      <c r="A552" t="s">
        <v>796</v>
      </c>
      <c r="B552" s="1">
        <v>45346</v>
      </c>
      <c r="C552" t="s">
        <v>172</v>
      </c>
      <c r="D552" t="s">
        <v>283</v>
      </c>
      <c r="E552">
        <v>3</v>
      </c>
      <c r="F552">
        <v>162561</v>
      </c>
      <c r="G552">
        <v>27063.62</v>
      </c>
      <c r="H552" t="str">
        <f>TEXT(Orders[[#This Row],[Order_Date]],"mmmm")</f>
        <v>February</v>
      </c>
      <c r="I552">
        <f>YEAR(Orders[[#This Row],[Order_Date]])</f>
        <v>2024</v>
      </c>
      <c r="J552" t="str">
        <f>"Q"&amp;ROUNDUP(MONTH(Orders[[#This Row],[Order_Date]])/3,0)</f>
        <v>Q1</v>
      </c>
      <c r="K552" s="2">
        <f>(Orders[[#This Row],[Profit]]/Orders[[#This Row],[Sales]])*100</f>
        <v>16.648285874225675</v>
      </c>
    </row>
    <row r="553" spans="1:11" x14ac:dyDescent="0.3">
      <c r="A553" t="s">
        <v>797</v>
      </c>
      <c r="B553" s="1">
        <v>45424</v>
      </c>
      <c r="C553" t="s">
        <v>102</v>
      </c>
      <c r="D553" t="s">
        <v>260</v>
      </c>
      <c r="E553">
        <v>5</v>
      </c>
      <c r="F553">
        <v>279750</v>
      </c>
      <c r="G553">
        <v>56345.63</v>
      </c>
      <c r="H553" t="str">
        <f>TEXT(Orders[[#This Row],[Order_Date]],"mmmm")</f>
        <v>May</v>
      </c>
      <c r="I553">
        <f>YEAR(Orders[[#This Row],[Order_Date]])</f>
        <v>2024</v>
      </c>
      <c r="J553" t="str">
        <f>"Q"&amp;ROUNDUP(MONTH(Orders[[#This Row],[Order_Date]])/3,0)</f>
        <v>Q2</v>
      </c>
      <c r="K553" s="2">
        <f>(Orders[[#This Row],[Profit]]/Orders[[#This Row],[Sales]])*100</f>
        <v>20.141422698838248</v>
      </c>
    </row>
    <row r="554" spans="1:11" x14ac:dyDescent="0.3">
      <c r="A554" t="s">
        <v>798</v>
      </c>
      <c r="B554" s="1">
        <v>45341</v>
      </c>
      <c r="C554" t="s">
        <v>192</v>
      </c>
      <c r="D554" t="s">
        <v>344</v>
      </c>
      <c r="E554">
        <v>5</v>
      </c>
      <c r="F554">
        <v>45505</v>
      </c>
      <c r="G554">
        <v>8754.1</v>
      </c>
      <c r="H554" t="str">
        <f>TEXT(Orders[[#This Row],[Order_Date]],"mmmm")</f>
        <v>February</v>
      </c>
      <c r="I554">
        <f>YEAR(Orders[[#This Row],[Order_Date]])</f>
        <v>2024</v>
      </c>
      <c r="J554" t="str">
        <f>"Q"&amp;ROUNDUP(MONTH(Orders[[#This Row],[Order_Date]])/3,0)</f>
        <v>Q1</v>
      </c>
      <c r="K554" s="2">
        <f>(Orders[[#This Row],[Profit]]/Orders[[#This Row],[Sales]])*100</f>
        <v>19.237666190528515</v>
      </c>
    </row>
    <row r="555" spans="1:11" x14ac:dyDescent="0.3">
      <c r="A555" t="s">
        <v>799</v>
      </c>
      <c r="B555" s="1">
        <v>45340</v>
      </c>
      <c r="C555" t="s">
        <v>216</v>
      </c>
      <c r="D555" t="s">
        <v>253</v>
      </c>
      <c r="E555">
        <v>4</v>
      </c>
      <c r="F555">
        <v>24100</v>
      </c>
      <c r="G555">
        <v>3013.37</v>
      </c>
      <c r="H555" t="str">
        <f>TEXT(Orders[[#This Row],[Order_Date]],"mmmm")</f>
        <v>February</v>
      </c>
      <c r="I555">
        <f>YEAR(Orders[[#This Row],[Order_Date]])</f>
        <v>2024</v>
      </c>
      <c r="J555" t="str">
        <f>"Q"&amp;ROUNDUP(MONTH(Orders[[#This Row],[Order_Date]])/3,0)</f>
        <v>Q1</v>
      </c>
      <c r="K555" s="2">
        <f>(Orders[[#This Row],[Profit]]/Orders[[#This Row],[Sales]])*100</f>
        <v>12.503609958506223</v>
      </c>
    </row>
    <row r="556" spans="1:11" x14ac:dyDescent="0.3">
      <c r="A556" t="s">
        <v>800</v>
      </c>
      <c r="B556" s="1">
        <v>45486</v>
      </c>
      <c r="C556" t="s">
        <v>92</v>
      </c>
      <c r="D556" t="s">
        <v>260</v>
      </c>
      <c r="E556">
        <v>1</v>
      </c>
      <c r="F556">
        <v>55950</v>
      </c>
      <c r="G556">
        <v>8340.91</v>
      </c>
      <c r="H556" t="str">
        <f>TEXT(Orders[[#This Row],[Order_Date]],"mmmm")</f>
        <v>July</v>
      </c>
      <c r="I556">
        <f>YEAR(Orders[[#This Row],[Order_Date]])</f>
        <v>2024</v>
      </c>
      <c r="J556" t="str">
        <f>"Q"&amp;ROUNDUP(MONTH(Orders[[#This Row],[Order_Date]])/3,0)</f>
        <v>Q3</v>
      </c>
      <c r="K556" s="2">
        <f>(Orders[[#This Row],[Profit]]/Orders[[#This Row],[Sales]])*100</f>
        <v>14.907792672028597</v>
      </c>
    </row>
    <row r="557" spans="1:11" x14ac:dyDescent="0.3">
      <c r="A557" t="s">
        <v>801</v>
      </c>
      <c r="B557" s="1">
        <v>45578</v>
      </c>
      <c r="C557" t="s">
        <v>22</v>
      </c>
      <c r="D557" t="s">
        <v>316</v>
      </c>
      <c r="E557">
        <v>5</v>
      </c>
      <c r="F557">
        <v>271920</v>
      </c>
      <c r="G557">
        <v>54980.160000000003</v>
      </c>
      <c r="H557" t="str">
        <f>TEXT(Orders[[#This Row],[Order_Date]],"mmmm")</f>
        <v>October</v>
      </c>
      <c r="I557">
        <f>YEAR(Orders[[#This Row],[Order_Date]])</f>
        <v>2024</v>
      </c>
      <c r="J557" t="str">
        <f>"Q"&amp;ROUNDUP(MONTH(Orders[[#This Row],[Order_Date]])/3,0)</f>
        <v>Q4</v>
      </c>
      <c r="K557" s="2">
        <f>(Orders[[#This Row],[Profit]]/Orders[[#This Row],[Sales]])*100</f>
        <v>20.219240953221536</v>
      </c>
    </row>
    <row r="558" spans="1:11" x14ac:dyDescent="0.3">
      <c r="A558" t="s">
        <v>802</v>
      </c>
      <c r="B558" s="1">
        <v>45484</v>
      </c>
      <c r="C558" t="s">
        <v>120</v>
      </c>
      <c r="D558" t="s">
        <v>316</v>
      </c>
      <c r="E558">
        <v>2</v>
      </c>
      <c r="F558">
        <v>108768</v>
      </c>
      <c r="G558">
        <v>18120.349999999999</v>
      </c>
      <c r="H558" t="str">
        <f>TEXT(Orders[[#This Row],[Order_Date]],"mmmm")</f>
        <v>July</v>
      </c>
      <c r="I558">
        <f>YEAR(Orders[[#This Row],[Order_Date]])</f>
        <v>2024</v>
      </c>
      <c r="J558" t="str">
        <f>"Q"&amp;ROUNDUP(MONTH(Orders[[#This Row],[Order_Date]])/3,0)</f>
        <v>Q3</v>
      </c>
      <c r="K558" s="2">
        <f>(Orders[[#This Row],[Profit]]/Orders[[#This Row],[Sales]])*100</f>
        <v>16.659633348043538</v>
      </c>
    </row>
    <row r="559" spans="1:11" x14ac:dyDescent="0.3">
      <c r="A559" t="s">
        <v>803</v>
      </c>
      <c r="B559" s="1">
        <v>45636</v>
      </c>
      <c r="C559" t="s">
        <v>31</v>
      </c>
      <c r="D559" t="s">
        <v>283</v>
      </c>
      <c r="E559">
        <v>5</v>
      </c>
      <c r="F559">
        <v>270935</v>
      </c>
      <c r="G559">
        <v>25545.69</v>
      </c>
      <c r="H559" t="str">
        <f>TEXT(Orders[[#This Row],[Order_Date]],"mmmm")</f>
        <v>December</v>
      </c>
      <c r="I559">
        <f>YEAR(Orders[[#This Row],[Order_Date]])</f>
        <v>2024</v>
      </c>
      <c r="J559" t="str">
        <f>"Q"&amp;ROUNDUP(MONTH(Orders[[#This Row],[Order_Date]])/3,0)</f>
        <v>Q4</v>
      </c>
      <c r="K559" s="2">
        <f>(Orders[[#This Row],[Profit]]/Orders[[#This Row],[Sales]])*100</f>
        <v>9.4287153745363277</v>
      </c>
    </row>
    <row r="560" spans="1:11" x14ac:dyDescent="0.3">
      <c r="A560" t="s">
        <v>804</v>
      </c>
      <c r="B560" s="1">
        <v>45312</v>
      </c>
      <c r="C560" t="s">
        <v>27</v>
      </c>
      <c r="D560" t="s">
        <v>266</v>
      </c>
      <c r="E560">
        <v>1</v>
      </c>
      <c r="F560">
        <v>11235</v>
      </c>
      <c r="G560">
        <v>1459.57</v>
      </c>
      <c r="H560" t="str">
        <f>TEXT(Orders[[#This Row],[Order_Date]],"mmmm")</f>
        <v>January</v>
      </c>
      <c r="I560">
        <f>YEAR(Orders[[#This Row],[Order_Date]])</f>
        <v>2024</v>
      </c>
      <c r="J560" t="str">
        <f>"Q"&amp;ROUNDUP(MONTH(Orders[[#This Row],[Order_Date]])/3,0)</f>
        <v>Q1</v>
      </c>
      <c r="K560" s="2">
        <f>(Orders[[#This Row],[Profit]]/Orders[[#This Row],[Sales]])*100</f>
        <v>12.991277258566978</v>
      </c>
    </row>
    <row r="561" spans="1:11" x14ac:dyDescent="0.3">
      <c r="A561" t="s">
        <v>805</v>
      </c>
      <c r="B561" s="1">
        <v>45315</v>
      </c>
      <c r="C561" t="s">
        <v>108</v>
      </c>
      <c r="D561" t="s">
        <v>247</v>
      </c>
      <c r="E561">
        <v>1</v>
      </c>
      <c r="F561">
        <v>11156</v>
      </c>
      <c r="G561">
        <v>1031.3399999999999</v>
      </c>
      <c r="H561" t="str">
        <f>TEXT(Orders[[#This Row],[Order_Date]],"mmmm")</f>
        <v>January</v>
      </c>
      <c r="I561">
        <f>YEAR(Orders[[#This Row],[Order_Date]])</f>
        <v>2024</v>
      </c>
      <c r="J561" t="str">
        <f>"Q"&amp;ROUNDUP(MONTH(Orders[[#This Row],[Order_Date]])/3,0)</f>
        <v>Q1</v>
      </c>
      <c r="K561" s="2">
        <f>(Orders[[#This Row],[Profit]]/Orders[[#This Row],[Sales]])*100</f>
        <v>9.2447113660810327</v>
      </c>
    </row>
    <row r="562" spans="1:11" x14ac:dyDescent="0.3">
      <c r="A562" t="s">
        <v>806</v>
      </c>
      <c r="B562" s="1">
        <v>45567</v>
      </c>
      <c r="C562" t="s">
        <v>168</v>
      </c>
      <c r="D562" t="s">
        <v>279</v>
      </c>
      <c r="E562">
        <v>3</v>
      </c>
      <c r="F562">
        <v>18660</v>
      </c>
      <c r="G562">
        <v>2469.46</v>
      </c>
      <c r="H562" t="str">
        <f>TEXT(Orders[[#This Row],[Order_Date]],"mmmm")</f>
        <v>October</v>
      </c>
      <c r="I562">
        <f>YEAR(Orders[[#This Row],[Order_Date]])</f>
        <v>2024</v>
      </c>
      <c r="J562" t="str">
        <f>"Q"&amp;ROUNDUP(MONTH(Orders[[#This Row],[Order_Date]])/3,0)</f>
        <v>Q4</v>
      </c>
      <c r="K562" s="2">
        <f>(Orders[[#This Row],[Profit]]/Orders[[#This Row],[Sales]])*100</f>
        <v>13.233976420150054</v>
      </c>
    </row>
    <row r="563" spans="1:11" x14ac:dyDescent="0.3">
      <c r="A563" t="s">
        <v>807</v>
      </c>
      <c r="B563" s="1">
        <v>45379</v>
      </c>
      <c r="C563" t="s">
        <v>140</v>
      </c>
      <c r="D563" t="s">
        <v>235</v>
      </c>
      <c r="E563">
        <v>3</v>
      </c>
      <c r="F563">
        <v>34026</v>
      </c>
      <c r="G563">
        <v>7641.36</v>
      </c>
      <c r="H563" t="str">
        <f>TEXT(Orders[[#This Row],[Order_Date]],"mmmm")</f>
        <v>March</v>
      </c>
      <c r="I563">
        <f>YEAR(Orders[[#This Row],[Order_Date]])</f>
        <v>2024</v>
      </c>
      <c r="J563" t="str">
        <f>"Q"&amp;ROUNDUP(MONTH(Orders[[#This Row],[Order_Date]])/3,0)</f>
        <v>Q1</v>
      </c>
      <c r="K563" s="2">
        <f>(Orders[[#This Row],[Profit]]/Orders[[#This Row],[Sales]])*100</f>
        <v>22.457414918003877</v>
      </c>
    </row>
    <row r="564" spans="1:11" x14ac:dyDescent="0.3">
      <c r="A564" t="s">
        <v>808</v>
      </c>
      <c r="B564" s="1">
        <v>45600</v>
      </c>
      <c r="C564" t="s">
        <v>180</v>
      </c>
      <c r="D564" t="s">
        <v>253</v>
      </c>
      <c r="E564">
        <v>5</v>
      </c>
      <c r="F564">
        <v>30125</v>
      </c>
      <c r="G564">
        <v>3689.84</v>
      </c>
      <c r="H564" t="str">
        <f>TEXT(Orders[[#This Row],[Order_Date]],"mmmm")</f>
        <v>November</v>
      </c>
      <c r="I564">
        <f>YEAR(Orders[[#This Row],[Order_Date]])</f>
        <v>2024</v>
      </c>
      <c r="J564" t="str">
        <f>"Q"&amp;ROUNDUP(MONTH(Orders[[#This Row],[Order_Date]])/3,0)</f>
        <v>Q4</v>
      </c>
      <c r="K564" s="2">
        <f>(Orders[[#This Row],[Profit]]/Orders[[#This Row],[Sales]])*100</f>
        <v>12.24843153526971</v>
      </c>
    </row>
    <row r="565" spans="1:11" x14ac:dyDescent="0.3">
      <c r="A565" t="s">
        <v>809</v>
      </c>
      <c r="B565" s="1">
        <v>45448</v>
      </c>
      <c r="C565" t="s">
        <v>78</v>
      </c>
      <c r="D565" t="s">
        <v>227</v>
      </c>
      <c r="E565">
        <v>2</v>
      </c>
      <c r="F565">
        <v>18788</v>
      </c>
      <c r="G565">
        <v>2495.6799999999998</v>
      </c>
      <c r="H565" t="str">
        <f>TEXT(Orders[[#This Row],[Order_Date]],"mmmm")</f>
        <v>June</v>
      </c>
      <c r="I565">
        <f>YEAR(Orders[[#This Row],[Order_Date]])</f>
        <v>2024</v>
      </c>
      <c r="J565" t="str">
        <f>"Q"&amp;ROUNDUP(MONTH(Orders[[#This Row],[Order_Date]])/3,0)</f>
        <v>Q2</v>
      </c>
      <c r="K565" s="2">
        <f>(Orders[[#This Row],[Profit]]/Orders[[#This Row],[Sales]])*100</f>
        <v>13.283372365339577</v>
      </c>
    </row>
    <row r="566" spans="1:11" x14ac:dyDescent="0.3">
      <c r="A566" t="s">
        <v>810</v>
      </c>
      <c r="B566" s="1">
        <v>45628</v>
      </c>
      <c r="C566" t="s">
        <v>156</v>
      </c>
      <c r="D566" t="s">
        <v>233</v>
      </c>
      <c r="E566">
        <v>3</v>
      </c>
      <c r="F566">
        <v>167085</v>
      </c>
      <c r="G566">
        <v>30063.21</v>
      </c>
      <c r="H566" t="str">
        <f>TEXT(Orders[[#This Row],[Order_Date]],"mmmm")</f>
        <v>December</v>
      </c>
      <c r="I566">
        <f>YEAR(Orders[[#This Row],[Order_Date]])</f>
        <v>2024</v>
      </c>
      <c r="J566" t="str">
        <f>"Q"&amp;ROUNDUP(MONTH(Orders[[#This Row],[Order_Date]])/3,0)</f>
        <v>Q4</v>
      </c>
      <c r="K566" s="2">
        <f>(Orders[[#This Row],[Profit]]/Orders[[#This Row],[Sales]])*100</f>
        <v>17.992764161953495</v>
      </c>
    </row>
    <row r="567" spans="1:11" x14ac:dyDescent="0.3">
      <c r="A567" t="s">
        <v>811</v>
      </c>
      <c r="B567" s="1">
        <v>45415</v>
      </c>
      <c r="C567" t="s">
        <v>142</v>
      </c>
      <c r="D567" t="s">
        <v>231</v>
      </c>
      <c r="E567">
        <v>2</v>
      </c>
      <c r="F567">
        <v>109874</v>
      </c>
      <c r="G567">
        <v>11546</v>
      </c>
      <c r="H567" t="str">
        <f>TEXT(Orders[[#This Row],[Order_Date]],"mmmm")</f>
        <v>May</v>
      </c>
      <c r="I567">
        <f>YEAR(Orders[[#This Row],[Order_Date]])</f>
        <v>2024</v>
      </c>
      <c r="J567" t="str">
        <f>"Q"&amp;ROUNDUP(MONTH(Orders[[#This Row],[Order_Date]])/3,0)</f>
        <v>Q2</v>
      </c>
      <c r="K567" s="2">
        <f>(Orders[[#This Row],[Profit]]/Orders[[#This Row],[Sales]])*100</f>
        <v>10.508400531517921</v>
      </c>
    </row>
    <row r="568" spans="1:11" x14ac:dyDescent="0.3">
      <c r="A568" t="s">
        <v>812</v>
      </c>
      <c r="B568" s="1">
        <v>45362</v>
      </c>
      <c r="C568" t="s">
        <v>60</v>
      </c>
      <c r="D568" t="s">
        <v>237</v>
      </c>
      <c r="E568">
        <v>3</v>
      </c>
      <c r="F568">
        <v>25878</v>
      </c>
      <c r="G568">
        <v>3824.25</v>
      </c>
      <c r="H568" t="str">
        <f>TEXT(Orders[[#This Row],[Order_Date]],"mmmm")</f>
        <v>March</v>
      </c>
      <c r="I568">
        <f>YEAR(Orders[[#This Row],[Order_Date]])</f>
        <v>2024</v>
      </c>
      <c r="J568" t="str">
        <f>"Q"&amp;ROUNDUP(MONTH(Orders[[#This Row],[Order_Date]])/3,0)</f>
        <v>Q1</v>
      </c>
      <c r="K568" s="2">
        <f>(Orders[[#This Row],[Profit]]/Orders[[#This Row],[Sales]])*100</f>
        <v>14.777996753999536</v>
      </c>
    </row>
    <row r="569" spans="1:11" x14ac:dyDescent="0.3">
      <c r="A569" t="s">
        <v>813</v>
      </c>
      <c r="B569" s="1">
        <v>45489</v>
      </c>
      <c r="C569" t="s">
        <v>62</v>
      </c>
      <c r="D569" t="s">
        <v>241</v>
      </c>
      <c r="E569">
        <v>5</v>
      </c>
      <c r="F569">
        <v>41810</v>
      </c>
      <c r="G569">
        <v>3870.91</v>
      </c>
      <c r="H569" t="str">
        <f>TEXT(Orders[[#This Row],[Order_Date]],"mmmm")</f>
        <v>July</v>
      </c>
      <c r="I569">
        <f>YEAR(Orders[[#This Row],[Order_Date]])</f>
        <v>2024</v>
      </c>
      <c r="J569" t="str">
        <f>"Q"&amp;ROUNDUP(MONTH(Orders[[#This Row],[Order_Date]])/3,0)</f>
        <v>Q3</v>
      </c>
      <c r="K569" s="2">
        <f>(Orders[[#This Row],[Profit]]/Orders[[#This Row],[Sales]])*100</f>
        <v>9.258335326476919</v>
      </c>
    </row>
    <row r="570" spans="1:11" x14ac:dyDescent="0.3">
      <c r="A570" t="s">
        <v>814</v>
      </c>
      <c r="B570" s="1">
        <v>45402</v>
      </c>
      <c r="C570" t="s">
        <v>200</v>
      </c>
      <c r="D570" t="s">
        <v>263</v>
      </c>
      <c r="E570">
        <v>2</v>
      </c>
      <c r="F570">
        <v>14310</v>
      </c>
      <c r="G570">
        <v>1238.9000000000001</v>
      </c>
      <c r="H570" t="str">
        <f>TEXT(Orders[[#This Row],[Order_Date]],"mmmm")</f>
        <v>April</v>
      </c>
      <c r="I570">
        <f>YEAR(Orders[[#This Row],[Order_Date]])</f>
        <v>2024</v>
      </c>
      <c r="J570" t="str">
        <f>"Q"&amp;ROUNDUP(MONTH(Orders[[#This Row],[Order_Date]])/3,0)</f>
        <v>Q2</v>
      </c>
      <c r="K570" s="2">
        <f>(Orders[[#This Row],[Profit]]/Orders[[#This Row],[Sales]])*100</f>
        <v>8.6575821104122994</v>
      </c>
    </row>
    <row r="571" spans="1:11" x14ac:dyDescent="0.3">
      <c r="A571" t="s">
        <v>815</v>
      </c>
      <c r="B571" s="1">
        <v>45618</v>
      </c>
      <c r="C571" t="s">
        <v>122</v>
      </c>
      <c r="D571" t="s">
        <v>239</v>
      </c>
      <c r="E571">
        <v>3</v>
      </c>
      <c r="F571">
        <v>75477</v>
      </c>
      <c r="G571">
        <v>15942.43</v>
      </c>
      <c r="H571" t="str">
        <f>TEXT(Orders[[#This Row],[Order_Date]],"mmmm")</f>
        <v>November</v>
      </c>
      <c r="I571">
        <f>YEAR(Orders[[#This Row],[Order_Date]])</f>
        <v>2024</v>
      </c>
      <c r="J571" t="str">
        <f>"Q"&amp;ROUNDUP(MONTH(Orders[[#This Row],[Order_Date]])/3,0)</f>
        <v>Q4</v>
      </c>
      <c r="K571" s="2">
        <f>(Orders[[#This Row],[Profit]]/Orders[[#This Row],[Sales]])*100</f>
        <v>21.122235912927117</v>
      </c>
    </row>
    <row r="572" spans="1:11" x14ac:dyDescent="0.3">
      <c r="A572" t="s">
        <v>816</v>
      </c>
      <c r="B572" s="1">
        <v>45327</v>
      </c>
      <c r="C572" t="s">
        <v>94</v>
      </c>
      <c r="D572" t="s">
        <v>255</v>
      </c>
      <c r="E572">
        <v>4</v>
      </c>
      <c r="F572">
        <v>102432</v>
      </c>
      <c r="G572">
        <v>14054.13</v>
      </c>
      <c r="H572" t="str">
        <f>TEXT(Orders[[#This Row],[Order_Date]],"mmmm")</f>
        <v>February</v>
      </c>
      <c r="I572">
        <f>YEAR(Orders[[#This Row],[Order_Date]])</f>
        <v>2024</v>
      </c>
      <c r="J572" t="str">
        <f>"Q"&amp;ROUNDUP(MONTH(Orders[[#This Row],[Order_Date]])/3,0)</f>
        <v>Q1</v>
      </c>
      <c r="K572" s="2">
        <f>(Orders[[#This Row],[Profit]]/Orders[[#This Row],[Sales]])*100</f>
        <v>13.720448687910029</v>
      </c>
    </row>
    <row r="573" spans="1:11" x14ac:dyDescent="0.3">
      <c r="A573" t="s">
        <v>817</v>
      </c>
      <c r="B573" s="1">
        <v>45576</v>
      </c>
      <c r="C573" t="s">
        <v>37</v>
      </c>
      <c r="D573" t="s">
        <v>227</v>
      </c>
      <c r="E573">
        <v>1</v>
      </c>
      <c r="F573">
        <v>9394</v>
      </c>
      <c r="G573">
        <v>1587.67</v>
      </c>
      <c r="H573" t="str">
        <f>TEXT(Orders[[#This Row],[Order_Date]],"mmmm")</f>
        <v>October</v>
      </c>
      <c r="I573">
        <f>YEAR(Orders[[#This Row],[Order_Date]])</f>
        <v>2024</v>
      </c>
      <c r="J573" t="str">
        <f>"Q"&amp;ROUNDUP(MONTH(Orders[[#This Row],[Order_Date]])/3,0)</f>
        <v>Q4</v>
      </c>
      <c r="K573" s="2">
        <f>(Orders[[#This Row],[Profit]]/Orders[[#This Row],[Sales]])*100</f>
        <v>16.900894187779432</v>
      </c>
    </row>
    <row r="574" spans="1:11" x14ac:dyDescent="0.3">
      <c r="A574" t="s">
        <v>818</v>
      </c>
      <c r="B574" s="1">
        <v>45526</v>
      </c>
      <c r="C574" t="s">
        <v>136</v>
      </c>
      <c r="D574" t="s">
        <v>344</v>
      </c>
      <c r="E574">
        <v>5</v>
      </c>
      <c r="F574">
        <v>45505</v>
      </c>
      <c r="G574">
        <v>11012.35</v>
      </c>
      <c r="H574" t="str">
        <f>TEXT(Orders[[#This Row],[Order_Date]],"mmmm")</f>
        <v>August</v>
      </c>
      <c r="I574">
        <f>YEAR(Orders[[#This Row],[Order_Date]])</f>
        <v>2024</v>
      </c>
      <c r="J574" t="str">
        <f>"Q"&amp;ROUNDUP(MONTH(Orders[[#This Row],[Order_Date]])/3,0)</f>
        <v>Q3</v>
      </c>
      <c r="K574" s="2">
        <f>(Orders[[#This Row],[Profit]]/Orders[[#This Row],[Sales]])*100</f>
        <v>24.200307658499067</v>
      </c>
    </row>
    <row r="575" spans="1:11" x14ac:dyDescent="0.3">
      <c r="A575" t="s">
        <v>819</v>
      </c>
      <c r="B575" s="1">
        <v>45416</v>
      </c>
      <c r="C575" t="s">
        <v>130</v>
      </c>
      <c r="D575" t="s">
        <v>241</v>
      </c>
      <c r="E575">
        <v>1</v>
      </c>
      <c r="F575">
        <v>8362</v>
      </c>
      <c r="G575">
        <v>942.19</v>
      </c>
      <c r="H575" t="str">
        <f>TEXT(Orders[[#This Row],[Order_Date]],"mmmm")</f>
        <v>May</v>
      </c>
      <c r="I575">
        <f>YEAR(Orders[[#This Row],[Order_Date]])</f>
        <v>2024</v>
      </c>
      <c r="J575" t="str">
        <f>"Q"&amp;ROUNDUP(MONTH(Orders[[#This Row],[Order_Date]])/3,0)</f>
        <v>Q2</v>
      </c>
      <c r="K575" s="2">
        <f>(Orders[[#This Row],[Profit]]/Orders[[#This Row],[Sales]])*100</f>
        <v>11.267519732121503</v>
      </c>
    </row>
    <row r="576" spans="1:11" x14ac:dyDescent="0.3">
      <c r="A576" t="s">
        <v>820</v>
      </c>
      <c r="B576" s="1">
        <v>45449</v>
      </c>
      <c r="C576" t="s">
        <v>98</v>
      </c>
      <c r="D576" t="s">
        <v>263</v>
      </c>
      <c r="E576">
        <v>5</v>
      </c>
      <c r="F576">
        <v>35775</v>
      </c>
      <c r="G576">
        <v>6550.3</v>
      </c>
      <c r="H576" t="str">
        <f>TEXT(Orders[[#This Row],[Order_Date]],"mmmm")</f>
        <v>June</v>
      </c>
      <c r="I576">
        <f>YEAR(Orders[[#This Row],[Order_Date]])</f>
        <v>2024</v>
      </c>
      <c r="J576" t="str">
        <f>"Q"&amp;ROUNDUP(MONTH(Orders[[#This Row],[Order_Date]])/3,0)</f>
        <v>Q2</v>
      </c>
      <c r="K576" s="2">
        <f>(Orders[[#This Row],[Profit]]/Orders[[#This Row],[Sales]])*100</f>
        <v>18.309713487071978</v>
      </c>
    </row>
    <row r="577" spans="1:11" x14ac:dyDescent="0.3">
      <c r="A577" t="s">
        <v>821</v>
      </c>
      <c r="B577" s="1">
        <v>45306</v>
      </c>
      <c r="C577" t="s">
        <v>86</v>
      </c>
      <c r="D577" t="s">
        <v>253</v>
      </c>
      <c r="E577">
        <v>3</v>
      </c>
      <c r="F577">
        <v>18075</v>
      </c>
      <c r="G577">
        <v>2329.39</v>
      </c>
      <c r="H577" t="str">
        <f>TEXT(Orders[[#This Row],[Order_Date]],"mmmm")</f>
        <v>January</v>
      </c>
      <c r="I577">
        <f>YEAR(Orders[[#This Row],[Order_Date]])</f>
        <v>2024</v>
      </c>
      <c r="J577" t="str">
        <f>"Q"&amp;ROUNDUP(MONTH(Orders[[#This Row],[Order_Date]])/3,0)</f>
        <v>Q1</v>
      </c>
      <c r="K577" s="2">
        <f>(Orders[[#This Row],[Profit]]/Orders[[#This Row],[Sales]])*100</f>
        <v>12.887358229598892</v>
      </c>
    </row>
    <row r="578" spans="1:11" x14ac:dyDescent="0.3">
      <c r="A578" t="s">
        <v>822</v>
      </c>
      <c r="B578" s="1">
        <v>45453</v>
      </c>
      <c r="C578" t="s">
        <v>13</v>
      </c>
      <c r="D578" t="s">
        <v>266</v>
      </c>
      <c r="E578">
        <v>1</v>
      </c>
      <c r="F578">
        <v>11235</v>
      </c>
      <c r="G578">
        <v>1292.79</v>
      </c>
      <c r="H578" t="str">
        <f>TEXT(Orders[[#This Row],[Order_Date]],"mmmm")</f>
        <v>June</v>
      </c>
      <c r="I578">
        <f>YEAR(Orders[[#This Row],[Order_Date]])</f>
        <v>2024</v>
      </c>
      <c r="J578" t="str">
        <f>"Q"&amp;ROUNDUP(MONTH(Orders[[#This Row],[Order_Date]])/3,0)</f>
        <v>Q2</v>
      </c>
      <c r="K578" s="2">
        <f>(Orders[[#This Row],[Profit]]/Orders[[#This Row],[Sales]])*100</f>
        <v>11.506809078771695</v>
      </c>
    </row>
    <row r="579" spans="1:11" x14ac:dyDescent="0.3">
      <c r="A579" t="s">
        <v>823</v>
      </c>
      <c r="B579" s="1">
        <v>45348</v>
      </c>
      <c r="C579" t="s">
        <v>134</v>
      </c>
      <c r="D579" t="s">
        <v>279</v>
      </c>
      <c r="E579">
        <v>1</v>
      </c>
      <c r="F579">
        <v>6220</v>
      </c>
      <c r="G579">
        <v>758.39</v>
      </c>
      <c r="H579" t="str">
        <f>TEXT(Orders[[#This Row],[Order_Date]],"mmmm")</f>
        <v>February</v>
      </c>
      <c r="I579">
        <f>YEAR(Orders[[#This Row],[Order_Date]])</f>
        <v>2024</v>
      </c>
      <c r="J579" t="str">
        <f>"Q"&amp;ROUNDUP(MONTH(Orders[[#This Row],[Order_Date]])/3,0)</f>
        <v>Q1</v>
      </c>
      <c r="K579" s="2">
        <f>(Orders[[#This Row],[Profit]]/Orders[[#This Row],[Sales]])*100</f>
        <v>12.192765273311897</v>
      </c>
    </row>
    <row r="580" spans="1:11" x14ac:dyDescent="0.3">
      <c r="A580" t="s">
        <v>824</v>
      </c>
      <c r="B580" s="1">
        <v>45361</v>
      </c>
      <c r="C580" t="s">
        <v>68</v>
      </c>
      <c r="D580" t="s">
        <v>344</v>
      </c>
      <c r="E580">
        <v>2</v>
      </c>
      <c r="F580">
        <v>18202</v>
      </c>
      <c r="G580">
        <v>3425.56</v>
      </c>
      <c r="H580" t="str">
        <f>TEXT(Orders[[#This Row],[Order_Date]],"mmmm")</f>
        <v>March</v>
      </c>
      <c r="I580">
        <f>YEAR(Orders[[#This Row],[Order_Date]])</f>
        <v>2024</v>
      </c>
      <c r="J580" t="str">
        <f>"Q"&amp;ROUNDUP(MONTH(Orders[[#This Row],[Order_Date]])/3,0)</f>
        <v>Q1</v>
      </c>
      <c r="K580" s="2">
        <f>(Orders[[#This Row],[Profit]]/Orders[[#This Row],[Sales]])*100</f>
        <v>18.819690143940228</v>
      </c>
    </row>
    <row r="581" spans="1:11" x14ac:dyDescent="0.3">
      <c r="A581" t="s">
        <v>825</v>
      </c>
      <c r="B581" s="1">
        <v>45306</v>
      </c>
      <c r="C581" t="s">
        <v>178</v>
      </c>
      <c r="D581" t="s">
        <v>235</v>
      </c>
      <c r="E581">
        <v>1</v>
      </c>
      <c r="F581">
        <v>11342</v>
      </c>
      <c r="G581">
        <v>1756.18</v>
      </c>
      <c r="H581" t="str">
        <f>TEXT(Orders[[#This Row],[Order_Date]],"mmmm")</f>
        <v>January</v>
      </c>
      <c r="I581">
        <f>YEAR(Orders[[#This Row],[Order_Date]])</f>
        <v>2024</v>
      </c>
      <c r="J581" t="str">
        <f>"Q"&amp;ROUNDUP(MONTH(Orders[[#This Row],[Order_Date]])/3,0)</f>
        <v>Q1</v>
      </c>
      <c r="K581" s="2">
        <f>(Orders[[#This Row],[Profit]]/Orders[[#This Row],[Sales]])*100</f>
        <v>15.483865279492154</v>
      </c>
    </row>
    <row r="582" spans="1:11" x14ac:dyDescent="0.3">
      <c r="A582" t="s">
        <v>826</v>
      </c>
      <c r="B582" s="1">
        <v>45564</v>
      </c>
      <c r="C582" t="s">
        <v>162</v>
      </c>
      <c r="D582" t="s">
        <v>227</v>
      </c>
      <c r="E582">
        <v>4</v>
      </c>
      <c r="F582">
        <v>37576</v>
      </c>
      <c r="G582">
        <v>4110.3100000000004</v>
      </c>
      <c r="H582" t="str">
        <f>TEXT(Orders[[#This Row],[Order_Date]],"mmmm")</f>
        <v>September</v>
      </c>
      <c r="I582">
        <f>YEAR(Orders[[#This Row],[Order_Date]])</f>
        <v>2024</v>
      </c>
      <c r="J582" t="str">
        <f>"Q"&amp;ROUNDUP(MONTH(Orders[[#This Row],[Order_Date]])/3,0)</f>
        <v>Q3</v>
      </c>
      <c r="K582" s="2">
        <f>(Orders[[#This Row],[Profit]]/Orders[[#This Row],[Sales]])*100</f>
        <v>10.938657653821588</v>
      </c>
    </row>
    <row r="583" spans="1:11" x14ac:dyDescent="0.3">
      <c r="A583" t="s">
        <v>827</v>
      </c>
      <c r="B583" s="1">
        <v>45362</v>
      </c>
      <c r="C583" t="s">
        <v>13</v>
      </c>
      <c r="D583" t="s">
        <v>227</v>
      </c>
      <c r="E583">
        <v>2</v>
      </c>
      <c r="F583">
        <v>18788</v>
      </c>
      <c r="G583">
        <v>1703.32</v>
      </c>
      <c r="H583" t="str">
        <f>TEXT(Orders[[#This Row],[Order_Date]],"mmmm")</f>
        <v>March</v>
      </c>
      <c r="I583">
        <f>YEAR(Orders[[#This Row],[Order_Date]])</f>
        <v>2024</v>
      </c>
      <c r="J583" t="str">
        <f>"Q"&amp;ROUNDUP(MONTH(Orders[[#This Row],[Order_Date]])/3,0)</f>
        <v>Q1</v>
      </c>
      <c r="K583" s="2">
        <f>(Orders[[#This Row],[Profit]]/Orders[[#This Row],[Sales]])*100</f>
        <v>9.0659995741962955</v>
      </c>
    </row>
    <row r="584" spans="1:11" x14ac:dyDescent="0.3">
      <c r="A584" t="s">
        <v>828</v>
      </c>
      <c r="B584" s="1">
        <v>45425</v>
      </c>
      <c r="C584" t="s">
        <v>102</v>
      </c>
      <c r="D584" t="s">
        <v>245</v>
      </c>
      <c r="E584">
        <v>1</v>
      </c>
      <c r="F584">
        <v>24236</v>
      </c>
      <c r="G584">
        <v>4070.86</v>
      </c>
      <c r="H584" t="str">
        <f>TEXT(Orders[[#This Row],[Order_Date]],"mmmm")</f>
        <v>May</v>
      </c>
      <c r="I584">
        <f>YEAR(Orders[[#This Row],[Order_Date]])</f>
        <v>2024</v>
      </c>
      <c r="J584" t="str">
        <f>"Q"&amp;ROUNDUP(MONTH(Orders[[#This Row],[Order_Date]])/3,0)</f>
        <v>Q2</v>
      </c>
      <c r="K584" s="2">
        <f>(Orders[[#This Row],[Profit]]/Orders[[#This Row],[Sales]])*100</f>
        <v>16.796748638389172</v>
      </c>
    </row>
    <row r="585" spans="1:11" x14ac:dyDescent="0.3">
      <c r="A585" t="s">
        <v>829</v>
      </c>
      <c r="B585" s="1">
        <v>45472</v>
      </c>
      <c r="C585" t="s">
        <v>68</v>
      </c>
      <c r="D585" t="s">
        <v>229</v>
      </c>
      <c r="E585">
        <v>1</v>
      </c>
      <c r="F585">
        <v>8873</v>
      </c>
      <c r="G585">
        <v>1530.09</v>
      </c>
      <c r="H585" t="str">
        <f>TEXT(Orders[[#This Row],[Order_Date]],"mmmm")</f>
        <v>June</v>
      </c>
      <c r="I585">
        <f>YEAR(Orders[[#This Row],[Order_Date]])</f>
        <v>2024</v>
      </c>
      <c r="J585" t="str">
        <f>"Q"&amp;ROUNDUP(MONTH(Orders[[#This Row],[Order_Date]])/3,0)</f>
        <v>Q2</v>
      </c>
      <c r="K585" s="2">
        <f>(Orders[[#This Row],[Profit]]/Orders[[#This Row],[Sales]])*100</f>
        <v>17.2443367519441</v>
      </c>
    </row>
    <row r="586" spans="1:11" x14ac:dyDescent="0.3">
      <c r="A586" t="s">
        <v>830</v>
      </c>
      <c r="B586" s="1">
        <v>45563</v>
      </c>
      <c r="C586" t="s">
        <v>86</v>
      </c>
      <c r="D586" t="s">
        <v>241</v>
      </c>
      <c r="E586">
        <v>4</v>
      </c>
      <c r="F586">
        <v>33448</v>
      </c>
      <c r="G586">
        <v>7644.22</v>
      </c>
      <c r="H586" t="str">
        <f>TEXT(Orders[[#This Row],[Order_Date]],"mmmm")</f>
        <v>September</v>
      </c>
      <c r="I586">
        <f>YEAR(Orders[[#This Row],[Order_Date]])</f>
        <v>2024</v>
      </c>
      <c r="J586" t="str">
        <f>"Q"&amp;ROUNDUP(MONTH(Orders[[#This Row],[Order_Date]])/3,0)</f>
        <v>Q3</v>
      </c>
      <c r="K586" s="2">
        <f>(Orders[[#This Row],[Profit]]/Orders[[#This Row],[Sales]])*100</f>
        <v>22.85404209519254</v>
      </c>
    </row>
    <row r="587" spans="1:11" x14ac:dyDescent="0.3">
      <c r="A587" t="s">
        <v>831</v>
      </c>
      <c r="B587" s="1">
        <v>45384</v>
      </c>
      <c r="C587" t="s">
        <v>154</v>
      </c>
      <c r="D587" t="s">
        <v>241</v>
      </c>
      <c r="E587">
        <v>4</v>
      </c>
      <c r="F587">
        <v>33448</v>
      </c>
      <c r="G587">
        <v>4261.97</v>
      </c>
      <c r="H587" t="str">
        <f>TEXT(Orders[[#This Row],[Order_Date]],"mmmm")</f>
        <v>April</v>
      </c>
      <c r="I587">
        <f>YEAR(Orders[[#This Row],[Order_Date]])</f>
        <v>2024</v>
      </c>
      <c r="J587" t="str">
        <f>"Q"&amp;ROUNDUP(MONTH(Orders[[#This Row],[Order_Date]])/3,0)</f>
        <v>Q2</v>
      </c>
      <c r="K587" s="2">
        <f>(Orders[[#This Row],[Profit]]/Orders[[#This Row],[Sales]])*100</f>
        <v>12.742077254245396</v>
      </c>
    </row>
    <row r="588" spans="1:11" x14ac:dyDescent="0.3">
      <c r="A588" t="s">
        <v>832</v>
      </c>
      <c r="B588" s="1">
        <v>45608</v>
      </c>
      <c r="C588" t="s">
        <v>214</v>
      </c>
      <c r="D588" t="s">
        <v>316</v>
      </c>
      <c r="E588">
        <v>5</v>
      </c>
      <c r="F588">
        <v>271920</v>
      </c>
      <c r="G588">
        <v>39965.61</v>
      </c>
      <c r="H588" t="str">
        <f>TEXT(Orders[[#This Row],[Order_Date]],"mmmm")</f>
        <v>November</v>
      </c>
      <c r="I588">
        <f>YEAR(Orders[[#This Row],[Order_Date]])</f>
        <v>2024</v>
      </c>
      <c r="J588" t="str">
        <f>"Q"&amp;ROUNDUP(MONTH(Orders[[#This Row],[Order_Date]])/3,0)</f>
        <v>Q4</v>
      </c>
      <c r="K588" s="2">
        <f>(Orders[[#This Row],[Profit]]/Orders[[#This Row],[Sales]])*100</f>
        <v>14.697561782877317</v>
      </c>
    </row>
    <row r="589" spans="1:11" x14ac:dyDescent="0.3">
      <c r="A589" t="s">
        <v>833</v>
      </c>
      <c r="B589" s="1">
        <v>45454</v>
      </c>
      <c r="C589" t="s">
        <v>72</v>
      </c>
      <c r="D589" t="s">
        <v>255</v>
      </c>
      <c r="E589">
        <v>1</v>
      </c>
      <c r="F589">
        <v>25608</v>
      </c>
      <c r="G589">
        <v>4300.09</v>
      </c>
      <c r="H589" t="str">
        <f>TEXT(Orders[[#This Row],[Order_Date]],"mmmm")</f>
        <v>June</v>
      </c>
      <c r="I589">
        <f>YEAR(Orders[[#This Row],[Order_Date]])</f>
        <v>2024</v>
      </c>
      <c r="J589" t="str">
        <f>"Q"&amp;ROUNDUP(MONTH(Orders[[#This Row],[Order_Date]])/3,0)</f>
        <v>Q2</v>
      </c>
      <c r="K589" s="2">
        <f>(Orders[[#This Row],[Profit]]/Orders[[#This Row],[Sales]])*100</f>
        <v>16.791979069040924</v>
      </c>
    </row>
    <row r="590" spans="1:11" x14ac:dyDescent="0.3">
      <c r="A590" t="s">
        <v>834</v>
      </c>
      <c r="B590" s="1">
        <v>45501</v>
      </c>
      <c r="C590" t="s">
        <v>56</v>
      </c>
      <c r="D590" t="s">
        <v>227</v>
      </c>
      <c r="E590">
        <v>3</v>
      </c>
      <c r="F590">
        <v>28182</v>
      </c>
      <c r="G590">
        <v>4156.07</v>
      </c>
      <c r="H590" t="str">
        <f>TEXT(Orders[[#This Row],[Order_Date]],"mmmm")</f>
        <v>July</v>
      </c>
      <c r="I590">
        <f>YEAR(Orders[[#This Row],[Order_Date]])</f>
        <v>2024</v>
      </c>
      <c r="J590" t="str">
        <f>"Q"&amp;ROUNDUP(MONTH(Orders[[#This Row],[Order_Date]])/3,0)</f>
        <v>Q3</v>
      </c>
      <c r="K590" s="2">
        <f>(Orders[[#This Row],[Profit]]/Orders[[#This Row],[Sales]])*100</f>
        <v>14.74725001774182</v>
      </c>
    </row>
    <row r="591" spans="1:11" x14ac:dyDescent="0.3">
      <c r="A591" t="s">
        <v>835</v>
      </c>
      <c r="B591" s="1">
        <v>45325</v>
      </c>
      <c r="C591" t="s">
        <v>206</v>
      </c>
      <c r="D591" t="s">
        <v>245</v>
      </c>
      <c r="E591">
        <v>4</v>
      </c>
      <c r="F591">
        <v>96944</v>
      </c>
      <c r="G591">
        <v>21466.3</v>
      </c>
      <c r="H591" t="str">
        <f>TEXT(Orders[[#This Row],[Order_Date]],"mmmm")</f>
        <v>February</v>
      </c>
      <c r="I591">
        <f>YEAR(Orders[[#This Row],[Order_Date]])</f>
        <v>2024</v>
      </c>
      <c r="J591" t="str">
        <f>"Q"&amp;ROUNDUP(MONTH(Orders[[#This Row],[Order_Date]])/3,0)</f>
        <v>Q1</v>
      </c>
      <c r="K591" s="2">
        <f>(Orders[[#This Row],[Profit]]/Orders[[#This Row],[Sales]])*100</f>
        <v>22.142989767288331</v>
      </c>
    </row>
    <row r="592" spans="1:11" x14ac:dyDescent="0.3">
      <c r="A592" t="s">
        <v>836</v>
      </c>
      <c r="B592" s="1">
        <v>45571</v>
      </c>
      <c r="C592" t="s">
        <v>196</v>
      </c>
      <c r="D592" t="s">
        <v>247</v>
      </c>
      <c r="E592">
        <v>2</v>
      </c>
      <c r="F592">
        <v>22312</v>
      </c>
      <c r="G592">
        <v>3891.5</v>
      </c>
      <c r="H592" t="str">
        <f>TEXT(Orders[[#This Row],[Order_Date]],"mmmm")</f>
        <v>October</v>
      </c>
      <c r="I592">
        <f>YEAR(Orders[[#This Row],[Order_Date]])</f>
        <v>2024</v>
      </c>
      <c r="J592" t="str">
        <f>"Q"&amp;ROUNDUP(MONTH(Orders[[#This Row],[Order_Date]])/3,0)</f>
        <v>Q4</v>
      </c>
      <c r="K592" s="2">
        <f>(Orders[[#This Row],[Profit]]/Orders[[#This Row],[Sales]])*100</f>
        <v>17.441287199713159</v>
      </c>
    </row>
    <row r="593" spans="1:11" x14ac:dyDescent="0.3">
      <c r="A593" t="s">
        <v>837</v>
      </c>
      <c r="B593" s="1">
        <v>45403</v>
      </c>
      <c r="C593" t="s">
        <v>118</v>
      </c>
      <c r="D593" t="s">
        <v>241</v>
      </c>
      <c r="E593">
        <v>3</v>
      </c>
      <c r="F593">
        <v>25086</v>
      </c>
      <c r="G593">
        <v>4530.93</v>
      </c>
      <c r="H593" t="str">
        <f>TEXT(Orders[[#This Row],[Order_Date]],"mmmm")</f>
        <v>April</v>
      </c>
      <c r="I593">
        <f>YEAR(Orders[[#This Row],[Order_Date]])</f>
        <v>2024</v>
      </c>
      <c r="J593" t="str">
        <f>"Q"&amp;ROUNDUP(MONTH(Orders[[#This Row],[Order_Date]])/3,0)</f>
        <v>Q2</v>
      </c>
      <c r="K593" s="2">
        <f>(Orders[[#This Row],[Profit]]/Orders[[#This Row],[Sales]])*100</f>
        <v>18.061588136809377</v>
      </c>
    </row>
    <row r="594" spans="1:11" x14ac:dyDescent="0.3">
      <c r="A594" t="s">
        <v>838</v>
      </c>
      <c r="B594" s="1">
        <v>45557</v>
      </c>
      <c r="C594" t="s">
        <v>68</v>
      </c>
      <c r="D594" t="s">
        <v>279</v>
      </c>
      <c r="E594">
        <v>4</v>
      </c>
      <c r="F594">
        <v>24880</v>
      </c>
      <c r="G594">
        <v>6039.5</v>
      </c>
      <c r="H594" t="str">
        <f>TEXT(Orders[[#This Row],[Order_Date]],"mmmm")</f>
        <v>September</v>
      </c>
      <c r="I594">
        <f>YEAR(Orders[[#This Row],[Order_Date]])</f>
        <v>2024</v>
      </c>
      <c r="J594" t="str">
        <f>"Q"&amp;ROUNDUP(MONTH(Orders[[#This Row],[Order_Date]])/3,0)</f>
        <v>Q3</v>
      </c>
      <c r="K594" s="2">
        <f>(Orders[[#This Row],[Profit]]/Orders[[#This Row],[Sales]])*100</f>
        <v>24.27451768488746</v>
      </c>
    </row>
    <row r="595" spans="1:11" x14ac:dyDescent="0.3">
      <c r="A595" t="s">
        <v>839</v>
      </c>
      <c r="B595" s="1">
        <v>45558</v>
      </c>
      <c r="C595" t="s">
        <v>17</v>
      </c>
      <c r="D595" t="s">
        <v>245</v>
      </c>
      <c r="E595">
        <v>3</v>
      </c>
      <c r="F595">
        <v>72708</v>
      </c>
      <c r="G595">
        <v>8173.95</v>
      </c>
      <c r="H595" t="str">
        <f>TEXT(Orders[[#This Row],[Order_Date]],"mmmm")</f>
        <v>September</v>
      </c>
      <c r="I595">
        <f>YEAR(Orders[[#This Row],[Order_Date]])</f>
        <v>2024</v>
      </c>
      <c r="J595" t="str">
        <f>"Q"&amp;ROUNDUP(MONTH(Orders[[#This Row],[Order_Date]])/3,0)</f>
        <v>Q3</v>
      </c>
      <c r="K595" s="2">
        <f>(Orders[[#This Row],[Profit]]/Orders[[#This Row],[Sales]])*100</f>
        <v>11.242160422511965</v>
      </c>
    </row>
    <row r="596" spans="1:11" x14ac:dyDescent="0.3">
      <c r="A596" t="s">
        <v>840</v>
      </c>
      <c r="B596" s="1">
        <v>45399</v>
      </c>
      <c r="C596" t="s">
        <v>208</v>
      </c>
      <c r="D596" t="s">
        <v>241</v>
      </c>
      <c r="E596">
        <v>2</v>
      </c>
      <c r="F596">
        <v>16724</v>
      </c>
      <c r="G596">
        <v>1991.52</v>
      </c>
      <c r="H596" t="str">
        <f>TEXT(Orders[[#This Row],[Order_Date]],"mmmm")</f>
        <v>April</v>
      </c>
      <c r="I596">
        <f>YEAR(Orders[[#This Row],[Order_Date]])</f>
        <v>2024</v>
      </c>
      <c r="J596" t="str">
        <f>"Q"&amp;ROUNDUP(MONTH(Orders[[#This Row],[Order_Date]])/3,0)</f>
        <v>Q2</v>
      </c>
      <c r="K596" s="2">
        <f>(Orders[[#This Row],[Profit]]/Orders[[#This Row],[Sales]])*100</f>
        <v>11.908155943554172</v>
      </c>
    </row>
    <row r="597" spans="1:11" x14ac:dyDescent="0.3">
      <c r="A597" t="s">
        <v>841</v>
      </c>
      <c r="B597" s="1">
        <v>45498</v>
      </c>
      <c r="C597" t="s">
        <v>142</v>
      </c>
      <c r="D597" t="s">
        <v>257</v>
      </c>
      <c r="E597">
        <v>1</v>
      </c>
      <c r="F597">
        <v>6747</v>
      </c>
      <c r="G597">
        <v>1294.3399999999999</v>
      </c>
      <c r="H597" t="str">
        <f>TEXT(Orders[[#This Row],[Order_Date]],"mmmm")</f>
        <v>July</v>
      </c>
      <c r="I597">
        <f>YEAR(Orders[[#This Row],[Order_Date]])</f>
        <v>2024</v>
      </c>
      <c r="J597" t="str">
        <f>"Q"&amp;ROUNDUP(MONTH(Orders[[#This Row],[Order_Date]])/3,0)</f>
        <v>Q3</v>
      </c>
      <c r="K597" s="2">
        <f>(Orders[[#This Row],[Profit]]/Orders[[#This Row],[Sales]])*100</f>
        <v>19.183933600118568</v>
      </c>
    </row>
    <row r="598" spans="1:11" x14ac:dyDescent="0.3">
      <c r="A598" t="s">
        <v>842</v>
      </c>
      <c r="B598" s="1">
        <v>45312</v>
      </c>
      <c r="C598" t="s">
        <v>92</v>
      </c>
      <c r="D598" t="s">
        <v>344</v>
      </c>
      <c r="E598">
        <v>2</v>
      </c>
      <c r="F598">
        <v>18202</v>
      </c>
      <c r="G598">
        <v>3934.31</v>
      </c>
      <c r="H598" t="str">
        <f>TEXT(Orders[[#This Row],[Order_Date]],"mmmm")</f>
        <v>January</v>
      </c>
      <c r="I598">
        <f>YEAR(Orders[[#This Row],[Order_Date]])</f>
        <v>2024</v>
      </c>
      <c r="J598" t="str">
        <f>"Q"&amp;ROUNDUP(MONTH(Orders[[#This Row],[Order_Date]])/3,0)</f>
        <v>Q1</v>
      </c>
      <c r="K598" s="2">
        <f>(Orders[[#This Row],[Profit]]/Orders[[#This Row],[Sales]])*100</f>
        <v>21.614712668937479</v>
      </c>
    </row>
    <row r="599" spans="1:11" x14ac:dyDescent="0.3">
      <c r="A599" t="s">
        <v>843</v>
      </c>
      <c r="B599" s="1">
        <v>45381</v>
      </c>
      <c r="C599" t="s">
        <v>200</v>
      </c>
      <c r="D599" t="s">
        <v>245</v>
      </c>
      <c r="E599">
        <v>4</v>
      </c>
      <c r="F599">
        <v>96944</v>
      </c>
      <c r="G599">
        <v>15581.79</v>
      </c>
      <c r="H599" t="str">
        <f>TEXT(Orders[[#This Row],[Order_Date]],"mmmm")</f>
        <v>March</v>
      </c>
      <c r="I599">
        <f>YEAR(Orders[[#This Row],[Order_Date]])</f>
        <v>2024</v>
      </c>
      <c r="J599" t="str">
        <f>"Q"&amp;ROUNDUP(MONTH(Orders[[#This Row],[Order_Date]])/3,0)</f>
        <v>Q1</v>
      </c>
      <c r="K599" s="2">
        <f>(Orders[[#This Row],[Profit]]/Orders[[#This Row],[Sales]])*100</f>
        <v>16.072980277273476</v>
      </c>
    </row>
    <row r="600" spans="1:11" x14ac:dyDescent="0.3">
      <c r="A600" t="s">
        <v>844</v>
      </c>
      <c r="B600" s="1">
        <v>45347</v>
      </c>
      <c r="C600" t="s">
        <v>74</v>
      </c>
      <c r="D600" t="s">
        <v>245</v>
      </c>
      <c r="E600">
        <v>4</v>
      </c>
      <c r="F600">
        <v>96944</v>
      </c>
      <c r="G600">
        <v>21143.31</v>
      </c>
      <c r="H600" t="str">
        <f>TEXT(Orders[[#This Row],[Order_Date]],"mmmm")</f>
        <v>February</v>
      </c>
      <c r="I600">
        <f>YEAR(Orders[[#This Row],[Order_Date]])</f>
        <v>2024</v>
      </c>
      <c r="J600" t="str">
        <f>"Q"&amp;ROUNDUP(MONTH(Orders[[#This Row],[Order_Date]])/3,0)</f>
        <v>Q1</v>
      </c>
      <c r="K600" s="2">
        <f>(Orders[[#This Row],[Profit]]/Orders[[#This Row],[Sales]])*100</f>
        <v>21.809818039280408</v>
      </c>
    </row>
    <row r="601" spans="1:11" x14ac:dyDescent="0.3">
      <c r="A601" t="s">
        <v>845</v>
      </c>
      <c r="B601" s="1">
        <v>45465</v>
      </c>
      <c r="C601" t="s">
        <v>188</v>
      </c>
      <c r="D601" t="s">
        <v>229</v>
      </c>
      <c r="E601">
        <v>2</v>
      </c>
      <c r="F601">
        <v>17746</v>
      </c>
      <c r="G601">
        <v>1611.09</v>
      </c>
      <c r="H601" t="str">
        <f>TEXT(Orders[[#This Row],[Order_Date]],"mmmm")</f>
        <v>June</v>
      </c>
      <c r="I601">
        <f>YEAR(Orders[[#This Row],[Order_Date]])</f>
        <v>2024</v>
      </c>
      <c r="J601" t="str">
        <f>"Q"&amp;ROUNDUP(MONTH(Orders[[#This Row],[Order_Date]])/3,0)</f>
        <v>Q2</v>
      </c>
      <c r="K601" s="2">
        <f>(Orders[[#This Row],[Profit]]/Orders[[#This Row],[Sales]])*100</f>
        <v>9.0786092640595069</v>
      </c>
    </row>
    <row r="602" spans="1:11" x14ac:dyDescent="0.3">
      <c r="A602" t="s">
        <v>846</v>
      </c>
      <c r="B602" s="1">
        <v>45480</v>
      </c>
      <c r="C602" t="s">
        <v>148</v>
      </c>
      <c r="D602" t="s">
        <v>316</v>
      </c>
      <c r="E602">
        <v>4</v>
      </c>
      <c r="F602">
        <v>217536</v>
      </c>
      <c r="G602">
        <v>36345.040000000001</v>
      </c>
      <c r="H602" t="str">
        <f>TEXT(Orders[[#This Row],[Order_Date]],"mmmm")</f>
        <v>July</v>
      </c>
      <c r="I602">
        <f>YEAR(Orders[[#This Row],[Order_Date]])</f>
        <v>2024</v>
      </c>
      <c r="J602" t="str">
        <f>"Q"&amp;ROUNDUP(MONTH(Orders[[#This Row],[Order_Date]])/3,0)</f>
        <v>Q3</v>
      </c>
      <c r="K602" s="2">
        <f>(Orders[[#This Row],[Profit]]/Orders[[#This Row],[Sales]])*100</f>
        <v>16.707597822889085</v>
      </c>
    </row>
    <row r="603" spans="1:11" x14ac:dyDescent="0.3">
      <c r="A603" t="s">
        <v>847</v>
      </c>
      <c r="B603" s="1">
        <v>45518</v>
      </c>
      <c r="C603" t="s">
        <v>130</v>
      </c>
      <c r="D603" t="s">
        <v>245</v>
      </c>
      <c r="E603">
        <v>2</v>
      </c>
      <c r="F603">
        <v>48472</v>
      </c>
      <c r="G603">
        <v>10854.15</v>
      </c>
      <c r="H603" t="str">
        <f>TEXT(Orders[[#This Row],[Order_Date]],"mmmm")</f>
        <v>August</v>
      </c>
      <c r="I603">
        <f>YEAR(Orders[[#This Row],[Order_Date]])</f>
        <v>2024</v>
      </c>
      <c r="J603" t="str">
        <f>"Q"&amp;ROUNDUP(MONTH(Orders[[#This Row],[Order_Date]])/3,0)</f>
        <v>Q3</v>
      </c>
      <c r="K603" s="2">
        <f>(Orders[[#This Row],[Profit]]/Orders[[#This Row],[Sales]])*100</f>
        <v>22.392618418881003</v>
      </c>
    </row>
    <row r="604" spans="1:11" x14ac:dyDescent="0.3">
      <c r="A604" t="s">
        <v>848</v>
      </c>
      <c r="B604" s="1">
        <v>45581</v>
      </c>
      <c r="C604" t="s">
        <v>86</v>
      </c>
      <c r="D604" t="s">
        <v>229</v>
      </c>
      <c r="E604">
        <v>3</v>
      </c>
      <c r="F604">
        <v>26619</v>
      </c>
      <c r="G604">
        <v>3877.47</v>
      </c>
      <c r="H604" t="str">
        <f>TEXT(Orders[[#This Row],[Order_Date]],"mmmm")</f>
        <v>October</v>
      </c>
      <c r="I604">
        <f>YEAR(Orders[[#This Row],[Order_Date]])</f>
        <v>2024</v>
      </c>
      <c r="J604" t="str">
        <f>"Q"&amp;ROUNDUP(MONTH(Orders[[#This Row],[Order_Date]])/3,0)</f>
        <v>Q4</v>
      </c>
      <c r="K604" s="2">
        <f>(Orders[[#This Row],[Profit]]/Orders[[#This Row],[Sales]])*100</f>
        <v>14.56655020849769</v>
      </c>
    </row>
    <row r="605" spans="1:11" x14ac:dyDescent="0.3">
      <c r="A605" t="s">
        <v>849</v>
      </c>
      <c r="B605" s="1">
        <v>45384</v>
      </c>
      <c r="C605" t="s">
        <v>78</v>
      </c>
      <c r="D605" t="s">
        <v>229</v>
      </c>
      <c r="E605">
        <v>5</v>
      </c>
      <c r="F605">
        <v>44365</v>
      </c>
      <c r="G605">
        <v>10075.41</v>
      </c>
      <c r="H605" t="str">
        <f>TEXT(Orders[[#This Row],[Order_Date]],"mmmm")</f>
        <v>April</v>
      </c>
      <c r="I605">
        <f>YEAR(Orders[[#This Row],[Order_Date]])</f>
        <v>2024</v>
      </c>
      <c r="J605" t="str">
        <f>"Q"&amp;ROUNDUP(MONTH(Orders[[#This Row],[Order_Date]])/3,0)</f>
        <v>Q2</v>
      </c>
      <c r="K605" s="2">
        <f>(Orders[[#This Row],[Profit]]/Orders[[#This Row],[Sales]])*100</f>
        <v>22.710267102445624</v>
      </c>
    </row>
    <row r="606" spans="1:11" x14ac:dyDescent="0.3">
      <c r="A606" t="s">
        <v>850</v>
      </c>
      <c r="B606" s="1">
        <v>45506</v>
      </c>
      <c r="C606" t="s">
        <v>194</v>
      </c>
      <c r="D606" t="s">
        <v>235</v>
      </c>
      <c r="E606">
        <v>3</v>
      </c>
      <c r="F606">
        <v>34026</v>
      </c>
      <c r="G606">
        <v>3159.93</v>
      </c>
      <c r="H606" t="str">
        <f>TEXT(Orders[[#This Row],[Order_Date]],"mmmm")</f>
        <v>August</v>
      </c>
      <c r="I606">
        <f>YEAR(Orders[[#This Row],[Order_Date]])</f>
        <v>2024</v>
      </c>
      <c r="J606" t="str">
        <f>"Q"&amp;ROUNDUP(MONTH(Orders[[#This Row],[Order_Date]])/3,0)</f>
        <v>Q3</v>
      </c>
      <c r="K606" s="2">
        <f>(Orders[[#This Row],[Profit]]/Orders[[#This Row],[Sales]])*100</f>
        <v>9.2868100864045129</v>
      </c>
    </row>
    <row r="607" spans="1:11" x14ac:dyDescent="0.3">
      <c r="A607" t="s">
        <v>851</v>
      </c>
      <c r="B607" s="1">
        <v>45527</v>
      </c>
      <c r="C607" t="s">
        <v>170</v>
      </c>
      <c r="D607" t="s">
        <v>316</v>
      </c>
      <c r="E607">
        <v>1</v>
      </c>
      <c r="F607">
        <v>54384</v>
      </c>
      <c r="G607">
        <v>13394.56</v>
      </c>
      <c r="H607" t="str">
        <f>TEXT(Orders[[#This Row],[Order_Date]],"mmmm")</f>
        <v>August</v>
      </c>
      <c r="I607">
        <f>YEAR(Orders[[#This Row],[Order_Date]])</f>
        <v>2024</v>
      </c>
      <c r="J607" t="str">
        <f>"Q"&amp;ROUNDUP(MONTH(Orders[[#This Row],[Order_Date]])/3,0)</f>
        <v>Q3</v>
      </c>
      <c r="K607" s="2">
        <f>(Orders[[#This Row],[Profit]]/Orders[[#This Row],[Sales]])*100</f>
        <v>24.629596940276553</v>
      </c>
    </row>
    <row r="608" spans="1:11" x14ac:dyDescent="0.3">
      <c r="A608" t="s">
        <v>852</v>
      </c>
      <c r="B608" s="1">
        <v>45338</v>
      </c>
      <c r="C608" t="s">
        <v>47</v>
      </c>
      <c r="D608" t="s">
        <v>227</v>
      </c>
      <c r="E608">
        <v>4</v>
      </c>
      <c r="F608">
        <v>37576</v>
      </c>
      <c r="G608">
        <v>5249.16</v>
      </c>
      <c r="H608" t="str">
        <f>TEXT(Orders[[#This Row],[Order_Date]],"mmmm")</f>
        <v>February</v>
      </c>
      <c r="I608">
        <f>YEAR(Orders[[#This Row],[Order_Date]])</f>
        <v>2024</v>
      </c>
      <c r="J608" t="str">
        <f>"Q"&amp;ROUNDUP(MONTH(Orders[[#This Row],[Order_Date]])/3,0)</f>
        <v>Q1</v>
      </c>
      <c r="K608" s="2">
        <f>(Orders[[#This Row],[Profit]]/Orders[[#This Row],[Sales]])*100</f>
        <v>13.969448584202681</v>
      </c>
    </row>
    <row r="609" spans="1:11" x14ac:dyDescent="0.3">
      <c r="A609" t="s">
        <v>853</v>
      </c>
      <c r="B609" s="1">
        <v>45560</v>
      </c>
      <c r="C609" t="s">
        <v>104</v>
      </c>
      <c r="D609" t="s">
        <v>247</v>
      </c>
      <c r="E609">
        <v>3</v>
      </c>
      <c r="F609">
        <v>33468</v>
      </c>
      <c r="G609">
        <v>7471.4</v>
      </c>
      <c r="H609" t="str">
        <f>TEXT(Orders[[#This Row],[Order_Date]],"mmmm")</f>
        <v>September</v>
      </c>
      <c r="I609">
        <f>YEAR(Orders[[#This Row],[Order_Date]])</f>
        <v>2024</v>
      </c>
      <c r="J609" t="str">
        <f>"Q"&amp;ROUNDUP(MONTH(Orders[[#This Row],[Order_Date]])/3,0)</f>
        <v>Q3</v>
      </c>
      <c r="K609" s="2">
        <f>(Orders[[#This Row],[Profit]]/Orders[[#This Row],[Sales]])*100</f>
        <v>22.324010995577865</v>
      </c>
    </row>
    <row r="610" spans="1:11" x14ac:dyDescent="0.3">
      <c r="A610" t="s">
        <v>854</v>
      </c>
      <c r="B610" s="1">
        <v>45377</v>
      </c>
      <c r="C610" t="s">
        <v>216</v>
      </c>
      <c r="D610" t="s">
        <v>235</v>
      </c>
      <c r="E610">
        <v>3</v>
      </c>
      <c r="F610">
        <v>34026</v>
      </c>
      <c r="G610">
        <v>3472.86</v>
      </c>
      <c r="H610" t="str">
        <f>TEXT(Orders[[#This Row],[Order_Date]],"mmmm")</f>
        <v>March</v>
      </c>
      <c r="I610">
        <f>YEAR(Orders[[#This Row],[Order_Date]])</f>
        <v>2024</v>
      </c>
      <c r="J610" t="str">
        <f>"Q"&amp;ROUNDUP(MONTH(Orders[[#This Row],[Order_Date]])/3,0)</f>
        <v>Q1</v>
      </c>
      <c r="K610" s="2">
        <f>(Orders[[#This Row],[Profit]]/Orders[[#This Row],[Sales]])*100</f>
        <v>10.20648915535179</v>
      </c>
    </row>
    <row r="611" spans="1:11" x14ac:dyDescent="0.3">
      <c r="A611" t="s">
        <v>855</v>
      </c>
      <c r="B611" s="1">
        <v>45542</v>
      </c>
      <c r="C611" t="s">
        <v>130</v>
      </c>
      <c r="D611" t="s">
        <v>279</v>
      </c>
      <c r="E611">
        <v>4</v>
      </c>
      <c r="F611">
        <v>24880</v>
      </c>
      <c r="G611">
        <v>5076.07</v>
      </c>
      <c r="H611" t="str">
        <f>TEXT(Orders[[#This Row],[Order_Date]],"mmmm")</f>
        <v>September</v>
      </c>
      <c r="I611">
        <f>YEAR(Orders[[#This Row],[Order_Date]])</f>
        <v>2024</v>
      </c>
      <c r="J611" t="str">
        <f>"Q"&amp;ROUNDUP(MONTH(Orders[[#This Row],[Order_Date]])/3,0)</f>
        <v>Q3</v>
      </c>
      <c r="K611" s="2">
        <f>(Orders[[#This Row],[Profit]]/Orders[[#This Row],[Sales]])*100</f>
        <v>20.402210610932475</v>
      </c>
    </row>
    <row r="612" spans="1:11" x14ac:dyDescent="0.3">
      <c r="A612" t="s">
        <v>856</v>
      </c>
      <c r="B612" s="1">
        <v>45422</v>
      </c>
      <c r="C612" t="s">
        <v>210</v>
      </c>
      <c r="D612" t="s">
        <v>229</v>
      </c>
      <c r="E612">
        <v>1</v>
      </c>
      <c r="F612">
        <v>8873</v>
      </c>
      <c r="G612">
        <v>2158.5500000000002</v>
      </c>
      <c r="H612" t="str">
        <f>TEXT(Orders[[#This Row],[Order_Date]],"mmmm")</f>
        <v>May</v>
      </c>
      <c r="I612">
        <f>YEAR(Orders[[#This Row],[Order_Date]])</f>
        <v>2024</v>
      </c>
      <c r="J612" t="str">
        <f>"Q"&amp;ROUNDUP(MONTH(Orders[[#This Row],[Order_Date]])/3,0)</f>
        <v>Q2</v>
      </c>
      <c r="K612" s="2">
        <f>(Orders[[#This Row],[Profit]]/Orders[[#This Row],[Sales]])*100</f>
        <v>24.327172320522937</v>
      </c>
    </row>
    <row r="613" spans="1:11" x14ac:dyDescent="0.3">
      <c r="A613" t="s">
        <v>857</v>
      </c>
      <c r="B613" s="1">
        <v>45335</v>
      </c>
      <c r="C613" t="s">
        <v>49</v>
      </c>
      <c r="D613" t="s">
        <v>279</v>
      </c>
      <c r="E613">
        <v>3</v>
      </c>
      <c r="F613">
        <v>18660</v>
      </c>
      <c r="G613">
        <v>1571.48</v>
      </c>
      <c r="H613" t="str">
        <f>TEXT(Orders[[#This Row],[Order_Date]],"mmmm")</f>
        <v>February</v>
      </c>
      <c r="I613">
        <f>YEAR(Orders[[#This Row],[Order_Date]])</f>
        <v>2024</v>
      </c>
      <c r="J613" t="str">
        <f>"Q"&amp;ROUNDUP(MONTH(Orders[[#This Row],[Order_Date]])/3,0)</f>
        <v>Q1</v>
      </c>
      <c r="K613" s="2">
        <f>(Orders[[#This Row],[Profit]]/Orders[[#This Row],[Sales]])*100</f>
        <v>8.4216505894962488</v>
      </c>
    </row>
    <row r="614" spans="1:11" x14ac:dyDescent="0.3">
      <c r="A614" t="s">
        <v>858</v>
      </c>
      <c r="B614" s="1">
        <v>45333</v>
      </c>
      <c r="C614" t="s">
        <v>102</v>
      </c>
      <c r="D614" t="s">
        <v>255</v>
      </c>
      <c r="E614">
        <v>2</v>
      </c>
      <c r="F614">
        <v>51216</v>
      </c>
      <c r="G614">
        <v>6003.26</v>
      </c>
      <c r="H614" t="str">
        <f>TEXT(Orders[[#This Row],[Order_Date]],"mmmm")</f>
        <v>February</v>
      </c>
      <c r="I614">
        <f>YEAR(Orders[[#This Row],[Order_Date]])</f>
        <v>2024</v>
      </c>
      <c r="J614" t="str">
        <f>"Q"&amp;ROUNDUP(MONTH(Orders[[#This Row],[Order_Date]])/3,0)</f>
        <v>Q1</v>
      </c>
      <c r="K614" s="2">
        <f>(Orders[[#This Row],[Profit]]/Orders[[#This Row],[Sales]])*100</f>
        <v>11.721454233052171</v>
      </c>
    </row>
    <row r="615" spans="1:11" x14ac:dyDescent="0.3">
      <c r="A615" t="s">
        <v>859</v>
      </c>
      <c r="B615" s="1">
        <v>45523</v>
      </c>
      <c r="C615" t="s">
        <v>62</v>
      </c>
      <c r="D615" t="s">
        <v>266</v>
      </c>
      <c r="E615">
        <v>3</v>
      </c>
      <c r="F615">
        <v>33705</v>
      </c>
      <c r="G615">
        <v>4981.8900000000003</v>
      </c>
      <c r="H615" t="str">
        <f>TEXT(Orders[[#This Row],[Order_Date]],"mmmm")</f>
        <v>August</v>
      </c>
      <c r="I615">
        <f>YEAR(Orders[[#This Row],[Order_Date]])</f>
        <v>2024</v>
      </c>
      <c r="J615" t="str">
        <f>"Q"&amp;ROUNDUP(MONTH(Orders[[#This Row],[Order_Date]])/3,0)</f>
        <v>Q3</v>
      </c>
      <c r="K615" s="2">
        <f>(Orders[[#This Row],[Profit]]/Orders[[#This Row],[Sales]])*100</f>
        <v>14.780863373386739</v>
      </c>
    </row>
    <row r="616" spans="1:11" x14ac:dyDescent="0.3">
      <c r="A616" t="s">
        <v>860</v>
      </c>
      <c r="B616" s="1">
        <v>45580</v>
      </c>
      <c r="C616" t="s">
        <v>192</v>
      </c>
      <c r="D616" t="s">
        <v>316</v>
      </c>
      <c r="E616">
        <v>1</v>
      </c>
      <c r="F616">
        <v>54384</v>
      </c>
      <c r="G616">
        <v>9552.98</v>
      </c>
      <c r="H616" t="str">
        <f>TEXT(Orders[[#This Row],[Order_Date]],"mmmm")</f>
        <v>October</v>
      </c>
      <c r="I616">
        <f>YEAR(Orders[[#This Row],[Order_Date]])</f>
        <v>2024</v>
      </c>
      <c r="J616" t="str">
        <f>"Q"&amp;ROUNDUP(MONTH(Orders[[#This Row],[Order_Date]])/3,0)</f>
        <v>Q4</v>
      </c>
      <c r="K616" s="2">
        <f>(Orders[[#This Row],[Profit]]/Orders[[#This Row],[Sales]])*100</f>
        <v>17.56579140923801</v>
      </c>
    </row>
    <row r="617" spans="1:11" x14ac:dyDescent="0.3">
      <c r="A617" t="s">
        <v>861</v>
      </c>
      <c r="B617" s="1">
        <v>45310</v>
      </c>
      <c r="C617" t="s">
        <v>39</v>
      </c>
      <c r="D617" t="s">
        <v>247</v>
      </c>
      <c r="E617">
        <v>1</v>
      </c>
      <c r="F617">
        <v>11156</v>
      </c>
      <c r="G617">
        <v>928.03</v>
      </c>
      <c r="H617" t="str">
        <f>TEXT(Orders[[#This Row],[Order_Date]],"mmmm")</f>
        <v>January</v>
      </c>
      <c r="I617">
        <f>YEAR(Orders[[#This Row],[Order_Date]])</f>
        <v>2024</v>
      </c>
      <c r="J617" t="str">
        <f>"Q"&amp;ROUNDUP(MONTH(Orders[[#This Row],[Order_Date]])/3,0)</f>
        <v>Q1</v>
      </c>
      <c r="K617" s="2">
        <f>(Orders[[#This Row],[Profit]]/Orders[[#This Row],[Sales]])*100</f>
        <v>8.318662603083542</v>
      </c>
    </row>
    <row r="618" spans="1:11" x14ac:dyDescent="0.3">
      <c r="A618" t="s">
        <v>862</v>
      </c>
      <c r="B618" s="1">
        <v>45608</v>
      </c>
      <c r="C618" t="s">
        <v>88</v>
      </c>
      <c r="D618" t="s">
        <v>279</v>
      </c>
      <c r="E618">
        <v>2</v>
      </c>
      <c r="F618">
        <v>12440</v>
      </c>
      <c r="G618">
        <v>2132.14</v>
      </c>
      <c r="H618" t="str">
        <f>TEXT(Orders[[#This Row],[Order_Date]],"mmmm")</f>
        <v>November</v>
      </c>
      <c r="I618">
        <f>YEAR(Orders[[#This Row],[Order_Date]])</f>
        <v>2024</v>
      </c>
      <c r="J618" t="str">
        <f>"Q"&amp;ROUNDUP(MONTH(Orders[[#This Row],[Order_Date]])/3,0)</f>
        <v>Q4</v>
      </c>
      <c r="K618" s="2">
        <f>(Orders[[#This Row],[Profit]]/Orders[[#This Row],[Sales]])*100</f>
        <v>17.139389067524114</v>
      </c>
    </row>
    <row r="619" spans="1:11" x14ac:dyDescent="0.3">
      <c r="A619" t="s">
        <v>863</v>
      </c>
      <c r="B619" s="1">
        <v>45467</v>
      </c>
      <c r="C619" t="s">
        <v>202</v>
      </c>
      <c r="D619" t="s">
        <v>233</v>
      </c>
      <c r="E619">
        <v>1</v>
      </c>
      <c r="F619">
        <v>55695</v>
      </c>
      <c r="G619">
        <v>8760.98</v>
      </c>
      <c r="H619" t="str">
        <f>TEXT(Orders[[#This Row],[Order_Date]],"mmmm")</f>
        <v>June</v>
      </c>
      <c r="I619">
        <f>YEAR(Orders[[#This Row],[Order_Date]])</f>
        <v>2024</v>
      </c>
      <c r="J619" t="str">
        <f>"Q"&amp;ROUNDUP(MONTH(Orders[[#This Row],[Order_Date]])/3,0)</f>
        <v>Q2</v>
      </c>
      <c r="K619" s="2">
        <f>(Orders[[#This Row],[Profit]]/Orders[[#This Row],[Sales]])*100</f>
        <v>15.730280994703294</v>
      </c>
    </row>
    <row r="620" spans="1:11" x14ac:dyDescent="0.3">
      <c r="A620" t="s">
        <v>864</v>
      </c>
      <c r="B620" s="1">
        <v>45656</v>
      </c>
      <c r="C620" t="s">
        <v>80</v>
      </c>
      <c r="D620" t="s">
        <v>227</v>
      </c>
      <c r="E620">
        <v>3</v>
      </c>
      <c r="F620">
        <v>28182</v>
      </c>
      <c r="G620">
        <v>5776</v>
      </c>
      <c r="H620" t="str">
        <f>TEXT(Orders[[#This Row],[Order_Date]],"mmmm")</f>
        <v>December</v>
      </c>
      <c r="I620">
        <f>YEAR(Orders[[#This Row],[Order_Date]])</f>
        <v>2024</v>
      </c>
      <c r="J620" t="str">
        <f>"Q"&amp;ROUNDUP(MONTH(Orders[[#This Row],[Order_Date]])/3,0)</f>
        <v>Q4</v>
      </c>
      <c r="K620" s="2">
        <f>(Orders[[#This Row],[Profit]]/Orders[[#This Row],[Sales]])*100</f>
        <v>20.495351642892626</v>
      </c>
    </row>
    <row r="621" spans="1:11" x14ac:dyDescent="0.3">
      <c r="A621" t="s">
        <v>865</v>
      </c>
      <c r="B621" s="1">
        <v>45493</v>
      </c>
      <c r="C621" t="s">
        <v>31</v>
      </c>
      <c r="D621" t="s">
        <v>344</v>
      </c>
      <c r="E621">
        <v>4</v>
      </c>
      <c r="F621">
        <v>36404</v>
      </c>
      <c r="G621">
        <v>6081.31</v>
      </c>
      <c r="H621" t="str">
        <f>TEXT(Orders[[#This Row],[Order_Date]],"mmmm")</f>
        <v>July</v>
      </c>
      <c r="I621">
        <f>YEAR(Orders[[#This Row],[Order_Date]])</f>
        <v>2024</v>
      </c>
      <c r="J621" t="str">
        <f>"Q"&amp;ROUNDUP(MONTH(Orders[[#This Row],[Order_Date]])/3,0)</f>
        <v>Q3</v>
      </c>
      <c r="K621" s="2">
        <f>(Orders[[#This Row],[Profit]]/Orders[[#This Row],[Sales]])*100</f>
        <v>16.705059883529284</v>
      </c>
    </row>
    <row r="622" spans="1:11" x14ac:dyDescent="0.3">
      <c r="A622" t="s">
        <v>866</v>
      </c>
      <c r="B622" s="1">
        <v>45312</v>
      </c>
      <c r="C622" t="s">
        <v>58</v>
      </c>
      <c r="D622" t="s">
        <v>257</v>
      </c>
      <c r="E622">
        <v>2</v>
      </c>
      <c r="F622">
        <v>13494</v>
      </c>
      <c r="G622">
        <v>1266.05</v>
      </c>
      <c r="H622" t="str">
        <f>TEXT(Orders[[#This Row],[Order_Date]],"mmmm")</f>
        <v>January</v>
      </c>
      <c r="I622">
        <f>YEAR(Orders[[#This Row],[Order_Date]])</f>
        <v>2024</v>
      </c>
      <c r="J622" t="str">
        <f>"Q"&amp;ROUNDUP(MONTH(Orders[[#This Row],[Order_Date]])/3,0)</f>
        <v>Q1</v>
      </c>
      <c r="K622" s="2">
        <f>(Orders[[#This Row],[Profit]]/Orders[[#This Row],[Sales]])*100</f>
        <v>9.382318067289166</v>
      </c>
    </row>
    <row r="623" spans="1:11" x14ac:dyDescent="0.3">
      <c r="A623" t="s">
        <v>867</v>
      </c>
      <c r="B623" s="1">
        <v>45609</v>
      </c>
      <c r="C623" t="s">
        <v>64</v>
      </c>
      <c r="D623" t="s">
        <v>233</v>
      </c>
      <c r="E623">
        <v>1</v>
      </c>
      <c r="F623">
        <v>55695</v>
      </c>
      <c r="G623">
        <v>8755.8700000000008</v>
      </c>
      <c r="H623" t="str">
        <f>TEXT(Orders[[#This Row],[Order_Date]],"mmmm")</f>
        <v>November</v>
      </c>
      <c r="I623">
        <f>YEAR(Orders[[#This Row],[Order_Date]])</f>
        <v>2024</v>
      </c>
      <c r="J623" t="str">
        <f>"Q"&amp;ROUNDUP(MONTH(Orders[[#This Row],[Order_Date]])/3,0)</f>
        <v>Q4</v>
      </c>
      <c r="K623" s="2">
        <f>(Orders[[#This Row],[Profit]]/Orders[[#This Row],[Sales]])*100</f>
        <v>15.721106023880063</v>
      </c>
    </row>
    <row r="624" spans="1:11" x14ac:dyDescent="0.3">
      <c r="A624" t="s">
        <v>868</v>
      </c>
      <c r="B624" s="1">
        <v>45405</v>
      </c>
      <c r="C624" t="s">
        <v>154</v>
      </c>
      <c r="D624" t="s">
        <v>257</v>
      </c>
      <c r="E624">
        <v>1</v>
      </c>
      <c r="F624">
        <v>6747</v>
      </c>
      <c r="G624">
        <v>1500.39</v>
      </c>
      <c r="H624" t="str">
        <f>TEXT(Orders[[#This Row],[Order_Date]],"mmmm")</f>
        <v>April</v>
      </c>
      <c r="I624">
        <f>YEAR(Orders[[#This Row],[Order_Date]])</f>
        <v>2024</v>
      </c>
      <c r="J624" t="str">
        <f>"Q"&amp;ROUNDUP(MONTH(Orders[[#This Row],[Order_Date]])/3,0)</f>
        <v>Q2</v>
      </c>
      <c r="K624" s="2">
        <f>(Orders[[#This Row],[Profit]]/Orders[[#This Row],[Sales]])*100</f>
        <v>22.237883503779461</v>
      </c>
    </row>
    <row r="625" spans="1:11" x14ac:dyDescent="0.3">
      <c r="A625" t="s">
        <v>869</v>
      </c>
      <c r="B625" s="1">
        <v>45312</v>
      </c>
      <c r="C625" t="s">
        <v>84</v>
      </c>
      <c r="D625" t="s">
        <v>255</v>
      </c>
      <c r="E625">
        <v>4</v>
      </c>
      <c r="F625">
        <v>102432</v>
      </c>
      <c r="G625">
        <v>11483.22</v>
      </c>
      <c r="H625" t="str">
        <f>TEXT(Orders[[#This Row],[Order_Date]],"mmmm")</f>
        <v>January</v>
      </c>
      <c r="I625">
        <f>YEAR(Orders[[#This Row],[Order_Date]])</f>
        <v>2024</v>
      </c>
      <c r="J625" t="str">
        <f>"Q"&amp;ROUNDUP(MONTH(Orders[[#This Row],[Order_Date]])/3,0)</f>
        <v>Q1</v>
      </c>
      <c r="K625" s="2">
        <f>(Orders[[#This Row],[Profit]]/Orders[[#This Row],[Sales]])*100</f>
        <v>11.210578725398312</v>
      </c>
    </row>
    <row r="626" spans="1:11" x14ac:dyDescent="0.3">
      <c r="A626" t="s">
        <v>870</v>
      </c>
      <c r="B626" s="1">
        <v>45510</v>
      </c>
      <c r="C626" t="s">
        <v>174</v>
      </c>
      <c r="D626" t="s">
        <v>229</v>
      </c>
      <c r="E626">
        <v>4</v>
      </c>
      <c r="F626">
        <v>35492</v>
      </c>
      <c r="G626">
        <v>5243.4</v>
      </c>
      <c r="H626" t="str">
        <f>TEXT(Orders[[#This Row],[Order_Date]],"mmmm")</f>
        <v>August</v>
      </c>
      <c r="I626">
        <f>YEAR(Orders[[#This Row],[Order_Date]])</f>
        <v>2024</v>
      </c>
      <c r="J626" t="str">
        <f>"Q"&amp;ROUNDUP(MONTH(Orders[[#This Row],[Order_Date]])/3,0)</f>
        <v>Q3</v>
      </c>
      <c r="K626" s="2">
        <f>(Orders[[#This Row],[Profit]]/Orders[[#This Row],[Sales]])*100</f>
        <v>14.773470077764003</v>
      </c>
    </row>
    <row r="627" spans="1:11" x14ac:dyDescent="0.3">
      <c r="A627" t="s">
        <v>871</v>
      </c>
      <c r="B627" s="1">
        <v>45304</v>
      </c>
      <c r="C627" t="s">
        <v>88</v>
      </c>
      <c r="D627" t="s">
        <v>266</v>
      </c>
      <c r="E627">
        <v>3</v>
      </c>
      <c r="F627">
        <v>33705</v>
      </c>
      <c r="G627">
        <v>5932.43</v>
      </c>
      <c r="H627" t="str">
        <f>TEXT(Orders[[#This Row],[Order_Date]],"mmmm")</f>
        <v>January</v>
      </c>
      <c r="I627">
        <f>YEAR(Orders[[#This Row],[Order_Date]])</f>
        <v>2024</v>
      </c>
      <c r="J627" t="str">
        <f>"Q"&amp;ROUNDUP(MONTH(Orders[[#This Row],[Order_Date]])/3,0)</f>
        <v>Q1</v>
      </c>
      <c r="K627" s="2">
        <f>(Orders[[#This Row],[Profit]]/Orders[[#This Row],[Sales]])*100</f>
        <v>17.601038421599171</v>
      </c>
    </row>
    <row r="628" spans="1:11" x14ac:dyDescent="0.3">
      <c r="A628" t="s">
        <v>872</v>
      </c>
      <c r="B628" s="1">
        <v>45512</v>
      </c>
      <c r="C628" t="s">
        <v>39</v>
      </c>
      <c r="D628" t="s">
        <v>316</v>
      </c>
      <c r="E628">
        <v>4</v>
      </c>
      <c r="F628">
        <v>217536</v>
      </c>
      <c r="G628">
        <v>23393.88</v>
      </c>
      <c r="H628" t="str">
        <f>TEXT(Orders[[#This Row],[Order_Date]],"mmmm")</f>
        <v>August</v>
      </c>
      <c r="I628">
        <f>YEAR(Orders[[#This Row],[Order_Date]])</f>
        <v>2024</v>
      </c>
      <c r="J628" t="str">
        <f>"Q"&amp;ROUNDUP(MONTH(Orders[[#This Row],[Order_Date]])/3,0)</f>
        <v>Q3</v>
      </c>
      <c r="K628" s="2">
        <f>(Orders[[#This Row],[Profit]]/Orders[[#This Row],[Sales]])*100</f>
        <v>10.754026919682259</v>
      </c>
    </row>
    <row r="629" spans="1:11" x14ac:dyDescent="0.3">
      <c r="A629" t="s">
        <v>873</v>
      </c>
      <c r="B629" s="1">
        <v>45549</v>
      </c>
      <c r="C629" t="s">
        <v>60</v>
      </c>
      <c r="D629" t="s">
        <v>241</v>
      </c>
      <c r="E629">
        <v>5</v>
      </c>
      <c r="F629">
        <v>41810</v>
      </c>
      <c r="G629">
        <v>8871.17</v>
      </c>
      <c r="H629" t="str">
        <f>TEXT(Orders[[#This Row],[Order_Date]],"mmmm")</f>
        <v>September</v>
      </c>
      <c r="I629">
        <f>YEAR(Orders[[#This Row],[Order_Date]])</f>
        <v>2024</v>
      </c>
      <c r="J629" t="str">
        <f>"Q"&amp;ROUNDUP(MONTH(Orders[[#This Row],[Order_Date]])/3,0)</f>
        <v>Q3</v>
      </c>
      <c r="K629" s="2">
        <f>(Orders[[#This Row],[Profit]]/Orders[[#This Row],[Sales]])*100</f>
        <v>21.217818703659411</v>
      </c>
    </row>
    <row r="630" spans="1:11" x14ac:dyDescent="0.3">
      <c r="A630" t="s">
        <v>874</v>
      </c>
      <c r="B630" s="1">
        <v>45538</v>
      </c>
      <c r="C630" t="s">
        <v>178</v>
      </c>
      <c r="D630" t="s">
        <v>257</v>
      </c>
      <c r="E630">
        <v>3</v>
      </c>
      <c r="F630">
        <v>20241</v>
      </c>
      <c r="G630">
        <v>5028.3</v>
      </c>
      <c r="H630" t="str">
        <f>TEXT(Orders[[#This Row],[Order_Date]],"mmmm")</f>
        <v>September</v>
      </c>
      <c r="I630">
        <f>YEAR(Orders[[#This Row],[Order_Date]])</f>
        <v>2024</v>
      </c>
      <c r="J630" t="str">
        <f>"Q"&amp;ROUNDUP(MONTH(Orders[[#This Row],[Order_Date]])/3,0)</f>
        <v>Q3</v>
      </c>
      <c r="K630" s="2">
        <f>(Orders[[#This Row],[Profit]]/Orders[[#This Row],[Sales]])*100</f>
        <v>24.842152067585594</v>
      </c>
    </row>
    <row r="631" spans="1:11" x14ac:dyDescent="0.3">
      <c r="A631" t="s">
        <v>875</v>
      </c>
      <c r="B631" s="1">
        <v>45574</v>
      </c>
      <c r="C631" t="s">
        <v>92</v>
      </c>
      <c r="D631" t="s">
        <v>253</v>
      </c>
      <c r="E631">
        <v>4</v>
      </c>
      <c r="F631">
        <v>24100</v>
      </c>
      <c r="G631">
        <v>5492.87</v>
      </c>
      <c r="H631" t="str">
        <f>TEXT(Orders[[#This Row],[Order_Date]],"mmmm")</f>
        <v>October</v>
      </c>
      <c r="I631">
        <f>YEAR(Orders[[#This Row],[Order_Date]])</f>
        <v>2024</v>
      </c>
      <c r="J631" t="str">
        <f>"Q"&amp;ROUNDUP(MONTH(Orders[[#This Row],[Order_Date]])/3,0)</f>
        <v>Q4</v>
      </c>
      <c r="K631" s="2">
        <f>(Orders[[#This Row],[Profit]]/Orders[[#This Row],[Sales]])*100</f>
        <v>22.791991701244811</v>
      </c>
    </row>
    <row r="632" spans="1:11" x14ac:dyDescent="0.3">
      <c r="A632" t="s">
        <v>876</v>
      </c>
      <c r="B632" s="1">
        <v>45570</v>
      </c>
      <c r="C632" t="s">
        <v>116</v>
      </c>
      <c r="D632" t="s">
        <v>279</v>
      </c>
      <c r="E632">
        <v>2</v>
      </c>
      <c r="F632">
        <v>12440</v>
      </c>
      <c r="G632">
        <v>1754.06</v>
      </c>
      <c r="H632" t="str">
        <f>TEXT(Orders[[#This Row],[Order_Date]],"mmmm")</f>
        <v>October</v>
      </c>
      <c r="I632">
        <f>YEAR(Orders[[#This Row],[Order_Date]])</f>
        <v>2024</v>
      </c>
      <c r="J632" t="str">
        <f>"Q"&amp;ROUNDUP(MONTH(Orders[[#This Row],[Order_Date]])/3,0)</f>
        <v>Q4</v>
      </c>
      <c r="K632" s="2">
        <f>(Orders[[#This Row],[Profit]]/Orders[[#This Row],[Sales]])*100</f>
        <v>14.100160771704179</v>
      </c>
    </row>
    <row r="633" spans="1:11" x14ac:dyDescent="0.3">
      <c r="A633" t="s">
        <v>877</v>
      </c>
      <c r="B633" s="1">
        <v>45628</v>
      </c>
      <c r="C633" t="s">
        <v>202</v>
      </c>
      <c r="D633" t="s">
        <v>255</v>
      </c>
      <c r="E633">
        <v>2</v>
      </c>
      <c r="F633">
        <v>51216</v>
      </c>
      <c r="G633">
        <v>6402.23</v>
      </c>
      <c r="H633" t="str">
        <f>TEXT(Orders[[#This Row],[Order_Date]],"mmmm")</f>
        <v>December</v>
      </c>
      <c r="I633">
        <f>YEAR(Orders[[#This Row],[Order_Date]])</f>
        <v>2024</v>
      </c>
      <c r="J633" t="str">
        <f>"Q"&amp;ROUNDUP(MONTH(Orders[[#This Row],[Order_Date]])/3,0)</f>
        <v>Q4</v>
      </c>
      <c r="K633" s="2">
        <f>(Orders[[#This Row],[Profit]]/Orders[[#This Row],[Sales]])*100</f>
        <v>12.500449078412995</v>
      </c>
    </row>
    <row r="634" spans="1:11" x14ac:dyDescent="0.3">
      <c r="A634" t="s">
        <v>878</v>
      </c>
      <c r="B634" s="1">
        <v>45593</v>
      </c>
      <c r="C634" t="s">
        <v>37</v>
      </c>
      <c r="D634" t="s">
        <v>231</v>
      </c>
      <c r="E634">
        <v>4</v>
      </c>
      <c r="F634">
        <v>219748</v>
      </c>
      <c r="G634">
        <v>23573.88</v>
      </c>
      <c r="H634" t="str">
        <f>TEXT(Orders[[#This Row],[Order_Date]],"mmmm")</f>
        <v>October</v>
      </c>
      <c r="I634">
        <f>YEAR(Orders[[#This Row],[Order_Date]])</f>
        <v>2024</v>
      </c>
      <c r="J634" t="str">
        <f>"Q"&amp;ROUNDUP(MONTH(Orders[[#This Row],[Order_Date]])/3,0)</f>
        <v>Q4</v>
      </c>
      <c r="K634" s="2">
        <f>(Orders[[#This Row],[Profit]]/Orders[[#This Row],[Sales]])*100</f>
        <v>10.727688079072392</v>
      </c>
    </row>
    <row r="635" spans="1:11" x14ac:dyDescent="0.3">
      <c r="A635" t="s">
        <v>879</v>
      </c>
      <c r="B635" s="1">
        <v>45539</v>
      </c>
      <c r="C635" t="s">
        <v>84</v>
      </c>
      <c r="D635" t="s">
        <v>316</v>
      </c>
      <c r="E635">
        <v>1</v>
      </c>
      <c r="F635">
        <v>54384</v>
      </c>
      <c r="G635">
        <v>5823.97</v>
      </c>
      <c r="H635" t="str">
        <f>TEXT(Orders[[#This Row],[Order_Date]],"mmmm")</f>
        <v>September</v>
      </c>
      <c r="I635">
        <f>YEAR(Orders[[#This Row],[Order_Date]])</f>
        <v>2024</v>
      </c>
      <c r="J635" t="str">
        <f>"Q"&amp;ROUNDUP(MONTH(Orders[[#This Row],[Order_Date]])/3,0)</f>
        <v>Q3</v>
      </c>
      <c r="K635" s="2">
        <f>(Orders[[#This Row],[Profit]]/Orders[[#This Row],[Sales]])*100</f>
        <v>10.708976904972051</v>
      </c>
    </row>
    <row r="636" spans="1:11" x14ac:dyDescent="0.3">
      <c r="A636" t="s">
        <v>880</v>
      </c>
      <c r="B636" s="1">
        <v>45321</v>
      </c>
      <c r="C636" t="s">
        <v>47</v>
      </c>
      <c r="D636" t="s">
        <v>227</v>
      </c>
      <c r="E636">
        <v>2</v>
      </c>
      <c r="F636">
        <v>18788</v>
      </c>
      <c r="G636">
        <v>1863.73</v>
      </c>
      <c r="H636" t="str">
        <f>TEXT(Orders[[#This Row],[Order_Date]],"mmmm")</f>
        <v>January</v>
      </c>
      <c r="I636">
        <f>YEAR(Orders[[#This Row],[Order_Date]])</f>
        <v>2024</v>
      </c>
      <c r="J636" t="str">
        <f>"Q"&amp;ROUNDUP(MONTH(Orders[[#This Row],[Order_Date]])/3,0)</f>
        <v>Q1</v>
      </c>
      <c r="K636" s="2">
        <f>(Orders[[#This Row],[Profit]]/Orders[[#This Row],[Sales]])*100</f>
        <v>9.9197892271662766</v>
      </c>
    </row>
    <row r="637" spans="1:11" x14ac:dyDescent="0.3">
      <c r="A637" t="s">
        <v>881</v>
      </c>
      <c r="B637" s="1">
        <v>45627</v>
      </c>
      <c r="C637" t="s">
        <v>64</v>
      </c>
      <c r="D637" t="s">
        <v>237</v>
      </c>
      <c r="E637">
        <v>1</v>
      </c>
      <c r="F637">
        <v>8626</v>
      </c>
      <c r="G637">
        <v>1377</v>
      </c>
      <c r="H637" t="str">
        <f>TEXT(Orders[[#This Row],[Order_Date]],"mmmm")</f>
        <v>December</v>
      </c>
      <c r="I637">
        <f>YEAR(Orders[[#This Row],[Order_Date]])</f>
        <v>2024</v>
      </c>
      <c r="J637" t="str">
        <f>"Q"&amp;ROUNDUP(MONTH(Orders[[#This Row],[Order_Date]])/3,0)</f>
        <v>Q4</v>
      </c>
      <c r="K637" s="2">
        <f>(Orders[[#This Row],[Profit]]/Orders[[#This Row],[Sales]])*100</f>
        <v>15.963366566195225</v>
      </c>
    </row>
    <row r="638" spans="1:11" x14ac:dyDescent="0.3">
      <c r="A638" t="s">
        <v>882</v>
      </c>
      <c r="B638" s="1">
        <v>45562</v>
      </c>
      <c r="C638" t="s">
        <v>138</v>
      </c>
      <c r="D638" t="s">
        <v>344</v>
      </c>
      <c r="E638">
        <v>1</v>
      </c>
      <c r="F638">
        <v>9101</v>
      </c>
      <c r="G638">
        <v>1148.05</v>
      </c>
      <c r="H638" t="str">
        <f>TEXT(Orders[[#This Row],[Order_Date]],"mmmm")</f>
        <v>September</v>
      </c>
      <c r="I638">
        <f>YEAR(Orders[[#This Row],[Order_Date]])</f>
        <v>2024</v>
      </c>
      <c r="J638" t="str">
        <f>"Q"&amp;ROUNDUP(MONTH(Orders[[#This Row],[Order_Date]])/3,0)</f>
        <v>Q3</v>
      </c>
      <c r="K638" s="2">
        <f>(Orders[[#This Row],[Profit]]/Orders[[#This Row],[Sales]])*100</f>
        <v>12.614547851884408</v>
      </c>
    </row>
    <row r="639" spans="1:11" x14ac:dyDescent="0.3">
      <c r="A639" t="s">
        <v>883</v>
      </c>
      <c r="B639" s="1">
        <v>45348</v>
      </c>
      <c r="C639" t="s">
        <v>140</v>
      </c>
      <c r="D639" t="s">
        <v>263</v>
      </c>
      <c r="E639">
        <v>3</v>
      </c>
      <c r="F639">
        <v>21465</v>
      </c>
      <c r="G639">
        <v>3890.19</v>
      </c>
      <c r="H639" t="str">
        <f>TEXT(Orders[[#This Row],[Order_Date]],"mmmm")</f>
        <v>February</v>
      </c>
      <c r="I639">
        <f>YEAR(Orders[[#This Row],[Order_Date]])</f>
        <v>2024</v>
      </c>
      <c r="J639" t="str">
        <f>"Q"&amp;ROUNDUP(MONTH(Orders[[#This Row],[Order_Date]])/3,0)</f>
        <v>Q1</v>
      </c>
      <c r="K639" s="2">
        <f>(Orders[[#This Row],[Profit]]/Orders[[#This Row],[Sales]])*100</f>
        <v>18.123410202655485</v>
      </c>
    </row>
    <row r="640" spans="1:11" x14ac:dyDescent="0.3">
      <c r="A640" t="s">
        <v>884</v>
      </c>
      <c r="B640" s="1">
        <v>45491</v>
      </c>
      <c r="C640" t="s">
        <v>106</v>
      </c>
      <c r="D640" t="s">
        <v>233</v>
      </c>
      <c r="E640">
        <v>4</v>
      </c>
      <c r="F640">
        <v>222780</v>
      </c>
      <c r="G640">
        <v>53284.58</v>
      </c>
      <c r="H640" t="str">
        <f>TEXT(Orders[[#This Row],[Order_Date]],"mmmm")</f>
        <v>July</v>
      </c>
      <c r="I640">
        <f>YEAR(Orders[[#This Row],[Order_Date]])</f>
        <v>2024</v>
      </c>
      <c r="J640" t="str">
        <f>"Q"&amp;ROUNDUP(MONTH(Orders[[#This Row],[Order_Date]])/3,0)</f>
        <v>Q3</v>
      </c>
      <c r="K640" s="2">
        <f>(Orders[[#This Row],[Profit]]/Orders[[#This Row],[Sales]])*100</f>
        <v>23.918026752850345</v>
      </c>
    </row>
    <row r="641" spans="1:11" x14ac:dyDescent="0.3">
      <c r="A641" t="s">
        <v>885</v>
      </c>
      <c r="B641" s="1">
        <v>45517</v>
      </c>
      <c r="C641" t="s">
        <v>94</v>
      </c>
      <c r="D641" t="s">
        <v>237</v>
      </c>
      <c r="E641">
        <v>2</v>
      </c>
      <c r="F641">
        <v>17252</v>
      </c>
      <c r="G641">
        <v>3777.86</v>
      </c>
      <c r="H641" t="str">
        <f>TEXT(Orders[[#This Row],[Order_Date]],"mmmm")</f>
        <v>August</v>
      </c>
      <c r="I641">
        <f>YEAR(Orders[[#This Row],[Order_Date]])</f>
        <v>2024</v>
      </c>
      <c r="J641" t="str">
        <f>"Q"&amp;ROUNDUP(MONTH(Orders[[#This Row],[Order_Date]])/3,0)</f>
        <v>Q3</v>
      </c>
      <c r="K641" s="2">
        <f>(Orders[[#This Row],[Profit]]/Orders[[#This Row],[Sales]])*100</f>
        <v>21.898098771156967</v>
      </c>
    </row>
    <row r="642" spans="1:11" x14ac:dyDescent="0.3">
      <c r="A642" t="s">
        <v>886</v>
      </c>
      <c r="B642" s="1">
        <v>45515</v>
      </c>
      <c r="C642" t="s">
        <v>162</v>
      </c>
      <c r="D642" t="s">
        <v>253</v>
      </c>
      <c r="E642">
        <v>4</v>
      </c>
      <c r="F642">
        <v>24100</v>
      </c>
      <c r="G642">
        <v>3695.31</v>
      </c>
      <c r="H642" t="str">
        <f>TEXT(Orders[[#This Row],[Order_Date]],"mmmm")</f>
        <v>August</v>
      </c>
      <c r="I642">
        <f>YEAR(Orders[[#This Row],[Order_Date]])</f>
        <v>2024</v>
      </c>
      <c r="J642" t="str">
        <f>"Q"&amp;ROUNDUP(MONTH(Orders[[#This Row],[Order_Date]])/3,0)</f>
        <v>Q3</v>
      </c>
      <c r="K642" s="2">
        <f>(Orders[[#This Row],[Profit]]/Orders[[#This Row],[Sales]])*100</f>
        <v>15.333236514522822</v>
      </c>
    </row>
    <row r="643" spans="1:11" x14ac:dyDescent="0.3">
      <c r="A643" t="s">
        <v>887</v>
      </c>
      <c r="B643" s="1">
        <v>45319</v>
      </c>
      <c r="C643" t="s">
        <v>170</v>
      </c>
      <c r="D643" t="s">
        <v>231</v>
      </c>
      <c r="E643">
        <v>2</v>
      </c>
      <c r="F643">
        <v>109874</v>
      </c>
      <c r="G643">
        <v>11607.66</v>
      </c>
      <c r="H643" t="str">
        <f>TEXT(Orders[[#This Row],[Order_Date]],"mmmm")</f>
        <v>January</v>
      </c>
      <c r="I643">
        <f>YEAR(Orders[[#This Row],[Order_Date]])</f>
        <v>2024</v>
      </c>
      <c r="J643" t="str">
        <f>"Q"&amp;ROUNDUP(MONTH(Orders[[#This Row],[Order_Date]])/3,0)</f>
        <v>Q1</v>
      </c>
      <c r="K643" s="2">
        <f>(Orders[[#This Row],[Profit]]/Orders[[#This Row],[Sales]])*100</f>
        <v>10.564519358537963</v>
      </c>
    </row>
    <row r="644" spans="1:11" x14ac:dyDescent="0.3">
      <c r="A644" t="s">
        <v>888</v>
      </c>
      <c r="B644" s="1">
        <v>45595</v>
      </c>
      <c r="C644" t="s">
        <v>104</v>
      </c>
      <c r="D644" t="s">
        <v>253</v>
      </c>
      <c r="E644">
        <v>4</v>
      </c>
      <c r="F644">
        <v>24100</v>
      </c>
      <c r="G644">
        <v>2203.63</v>
      </c>
      <c r="H644" t="str">
        <f>TEXT(Orders[[#This Row],[Order_Date]],"mmmm")</f>
        <v>October</v>
      </c>
      <c r="I644">
        <f>YEAR(Orders[[#This Row],[Order_Date]])</f>
        <v>2024</v>
      </c>
      <c r="J644" t="str">
        <f>"Q"&amp;ROUNDUP(MONTH(Orders[[#This Row],[Order_Date]])/3,0)</f>
        <v>Q4</v>
      </c>
      <c r="K644" s="2">
        <f>(Orders[[#This Row],[Profit]]/Orders[[#This Row],[Sales]])*100</f>
        <v>9.143692946058092</v>
      </c>
    </row>
    <row r="645" spans="1:11" x14ac:dyDescent="0.3">
      <c r="A645" t="s">
        <v>889</v>
      </c>
      <c r="B645" s="1">
        <v>45612</v>
      </c>
      <c r="C645" t="s">
        <v>100</v>
      </c>
      <c r="D645" t="s">
        <v>245</v>
      </c>
      <c r="E645">
        <v>2</v>
      </c>
      <c r="F645">
        <v>48472</v>
      </c>
      <c r="G645">
        <v>5075.1499999999996</v>
      </c>
      <c r="H645" t="str">
        <f>TEXT(Orders[[#This Row],[Order_Date]],"mmmm")</f>
        <v>November</v>
      </c>
      <c r="I645">
        <f>YEAR(Orders[[#This Row],[Order_Date]])</f>
        <v>2024</v>
      </c>
      <c r="J645" t="str">
        <f>"Q"&amp;ROUNDUP(MONTH(Orders[[#This Row],[Order_Date]])/3,0)</f>
        <v>Q4</v>
      </c>
      <c r="K645" s="2">
        <f>(Orders[[#This Row],[Profit]]/Orders[[#This Row],[Sales]])*100</f>
        <v>10.47027149694669</v>
      </c>
    </row>
    <row r="646" spans="1:11" x14ac:dyDescent="0.3">
      <c r="A646" t="s">
        <v>890</v>
      </c>
      <c r="B646" s="1">
        <v>45652</v>
      </c>
      <c r="C646" t="s">
        <v>47</v>
      </c>
      <c r="D646" t="s">
        <v>241</v>
      </c>
      <c r="E646">
        <v>2</v>
      </c>
      <c r="F646">
        <v>16724</v>
      </c>
      <c r="G646">
        <v>2694.81</v>
      </c>
      <c r="H646" t="str">
        <f>TEXT(Orders[[#This Row],[Order_Date]],"mmmm")</f>
        <v>December</v>
      </c>
      <c r="I646">
        <f>YEAR(Orders[[#This Row],[Order_Date]])</f>
        <v>2024</v>
      </c>
      <c r="J646" t="str">
        <f>"Q"&amp;ROUNDUP(MONTH(Orders[[#This Row],[Order_Date]])/3,0)</f>
        <v>Q4</v>
      </c>
      <c r="K646" s="2">
        <f>(Orders[[#This Row],[Profit]]/Orders[[#This Row],[Sales]])*100</f>
        <v>16.113429801482898</v>
      </c>
    </row>
    <row r="647" spans="1:11" x14ac:dyDescent="0.3">
      <c r="A647" t="s">
        <v>891</v>
      </c>
      <c r="B647" s="1">
        <v>45612</v>
      </c>
      <c r="C647" t="s">
        <v>78</v>
      </c>
      <c r="D647" t="s">
        <v>253</v>
      </c>
      <c r="E647">
        <v>5</v>
      </c>
      <c r="F647">
        <v>30125</v>
      </c>
      <c r="G647">
        <v>5111.03</v>
      </c>
      <c r="H647" t="str">
        <f>TEXT(Orders[[#This Row],[Order_Date]],"mmmm")</f>
        <v>November</v>
      </c>
      <c r="I647">
        <f>YEAR(Orders[[#This Row],[Order_Date]])</f>
        <v>2024</v>
      </c>
      <c r="J647" t="str">
        <f>"Q"&amp;ROUNDUP(MONTH(Orders[[#This Row],[Order_Date]])/3,0)</f>
        <v>Q4</v>
      </c>
      <c r="K647" s="2">
        <f>(Orders[[#This Row],[Profit]]/Orders[[#This Row],[Sales]])*100</f>
        <v>16.966074688796677</v>
      </c>
    </row>
    <row r="648" spans="1:11" x14ac:dyDescent="0.3">
      <c r="A648" t="s">
        <v>892</v>
      </c>
      <c r="B648" s="1">
        <v>45362</v>
      </c>
      <c r="C648" t="s">
        <v>202</v>
      </c>
      <c r="D648" t="s">
        <v>257</v>
      </c>
      <c r="E648">
        <v>2</v>
      </c>
      <c r="F648">
        <v>13494</v>
      </c>
      <c r="G648">
        <v>1765.53</v>
      </c>
      <c r="H648" t="str">
        <f>TEXT(Orders[[#This Row],[Order_Date]],"mmmm")</f>
        <v>March</v>
      </c>
      <c r="I648">
        <f>YEAR(Orders[[#This Row],[Order_Date]])</f>
        <v>2024</v>
      </c>
      <c r="J648" t="str">
        <f>"Q"&amp;ROUNDUP(MONTH(Orders[[#This Row],[Order_Date]])/3,0)</f>
        <v>Q1</v>
      </c>
      <c r="K648" s="2">
        <f>(Orders[[#This Row],[Profit]]/Orders[[#This Row],[Sales]])*100</f>
        <v>13.083815028901736</v>
      </c>
    </row>
    <row r="649" spans="1:11" x14ac:dyDescent="0.3">
      <c r="A649" t="s">
        <v>893</v>
      </c>
      <c r="B649" s="1">
        <v>45652</v>
      </c>
      <c r="C649" t="s">
        <v>184</v>
      </c>
      <c r="D649" t="s">
        <v>229</v>
      </c>
      <c r="E649">
        <v>4</v>
      </c>
      <c r="F649">
        <v>35492</v>
      </c>
      <c r="G649">
        <v>5790.77</v>
      </c>
      <c r="H649" t="str">
        <f>TEXT(Orders[[#This Row],[Order_Date]],"mmmm")</f>
        <v>December</v>
      </c>
      <c r="I649">
        <f>YEAR(Orders[[#This Row],[Order_Date]])</f>
        <v>2024</v>
      </c>
      <c r="J649" t="str">
        <f>"Q"&amp;ROUNDUP(MONTH(Orders[[#This Row],[Order_Date]])/3,0)</f>
        <v>Q4</v>
      </c>
      <c r="K649" s="2">
        <f>(Orders[[#This Row],[Profit]]/Orders[[#This Row],[Sales]])*100</f>
        <v>16.315704947593826</v>
      </c>
    </row>
    <row r="650" spans="1:11" x14ac:dyDescent="0.3">
      <c r="A650" t="s">
        <v>894</v>
      </c>
      <c r="B650" s="1">
        <v>45480</v>
      </c>
      <c r="C650" t="s">
        <v>218</v>
      </c>
      <c r="D650" t="s">
        <v>247</v>
      </c>
      <c r="E650">
        <v>5</v>
      </c>
      <c r="F650">
        <v>55780</v>
      </c>
      <c r="G650">
        <v>5175.49</v>
      </c>
      <c r="H650" t="str">
        <f>TEXT(Orders[[#This Row],[Order_Date]],"mmmm")</f>
        <v>July</v>
      </c>
      <c r="I650">
        <f>YEAR(Orders[[#This Row],[Order_Date]])</f>
        <v>2024</v>
      </c>
      <c r="J650" t="str">
        <f>"Q"&amp;ROUNDUP(MONTH(Orders[[#This Row],[Order_Date]])/3,0)</f>
        <v>Q3</v>
      </c>
      <c r="K650" s="2">
        <f>(Orders[[#This Row],[Profit]]/Orders[[#This Row],[Sales]])*100</f>
        <v>9.2783972750089632</v>
      </c>
    </row>
    <row r="651" spans="1:11" x14ac:dyDescent="0.3">
      <c r="A651" t="s">
        <v>895</v>
      </c>
      <c r="B651" s="1">
        <v>45519</v>
      </c>
      <c r="C651" t="s">
        <v>82</v>
      </c>
      <c r="D651" t="s">
        <v>260</v>
      </c>
      <c r="E651">
        <v>2</v>
      </c>
      <c r="F651">
        <v>111900</v>
      </c>
      <c r="G651">
        <v>26256.59</v>
      </c>
      <c r="H651" t="str">
        <f>TEXT(Orders[[#This Row],[Order_Date]],"mmmm")</f>
        <v>August</v>
      </c>
      <c r="I651">
        <f>YEAR(Orders[[#This Row],[Order_Date]])</f>
        <v>2024</v>
      </c>
      <c r="J651" t="str">
        <f>"Q"&amp;ROUNDUP(MONTH(Orders[[#This Row],[Order_Date]])/3,0)</f>
        <v>Q3</v>
      </c>
      <c r="K651" s="2">
        <f>(Orders[[#This Row],[Profit]]/Orders[[#This Row],[Sales]])*100</f>
        <v>23.464334226988381</v>
      </c>
    </row>
    <row r="652" spans="1:11" x14ac:dyDescent="0.3">
      <c r="A652" t="s">
        <v>896</v>
      </c>
      <c r="B652" s="1">
        <v>45465</v>
      </c>
      <c r="C652" t="s">
        <v>150</v>
      </c>
      <c r="D652" t="s">
        <v>245</v>
      </c>
      <c r="E652">
        <v>3</v>
      </c>
      <c r="F652">
        <v>72708</v>
      </c>
      <c r="G652">
        <v>11083.9</v>
      </c>
      <c r="H652" t="str">
        <f>TEXT(Orders[[#This Row],[Order_Date]],"mmmm")</f>
        <v>June</v>
      </c>
      <c r="I652">
        <f>YEAR(Orders[[#This Row],[Order_Date]])</f>
        <v>2024</v>
      </c>
      <c r="J652" t="str">
        <f>"Q"&amp;ROUNDUP(MONTH(Orders[[#This Row],[Order_Date]])/3,0)</f>
        <v>Q2</v>
      </c>
      <c r="K652" s="2">
        <f>(Orders[[#This Row],[Profit]]/Orders[[#This Row],[Sales]])*100</f>
        <v>15.244402266600648</v>
      </c>
    </row>
    <row r="653" spans="1:11" x14ac:dyDescent="0.3">
      <c r="A653" t="s">
        <v>897</v>
      </c>
      <c r="B653" s="1">
        <v>45320</v>
      </c>
      <c r="C653" t="s">
        <v>142</v>
      </c>
      <c r="D653" t="s">
        <v>233</v>
      </c>
      <c r="E653">
        <v>1</v>
      </c>
      <c r="F653">
        <v>55695</v>
      </c>
      <c r="G653">
        <v>10062.61</v>
      </c>
      <c r="H653" t="str">
        <f>TEXT(Orders[[#This Row],[Order_Date]],"mmmm")</f>
        <v>January</v>
      </c>
      <c r="I653">
        <f>YEAR(Orders[[#This Row],[Order_Date]])</f>
        <v>2024</v>
      </c>
      <c r="J653" t="str">
        <f>"Q"&amp;ROUNDUP(MONTH(Orders[[#This Row],[Order_Date]])/3,0)</f>
        <v>Q1</v>
      </c>
      <c r="K653" s="2">
        <f>(Orders[[#This Row],[Profit]]/Orders[[#This Row],[Sales]])*100</f>
        <v>18.067348954125148</v>
      </c>
    </row>
    <row r="654" spans="1:11" x14ac:dyDescent="0.3">
      <c r="A654" t="s">
        <v>898</v>
      </c>
      <c r="B654" s="1">
        <v>45382</v>
      </c>
      <c r="C654" t="s">
        <v>218</v>
      </c>
      <c r="D654" t="s">
        <v>260</v>
      </c>
      <c r="E654">
        <v>5</v>
      </c>
      <c r="F654">
        <v>279750</v>
      </c>
      <c r="G654">
        <v>57708.33</v>
      </c>
      <c r="H654" t="str">
        <f>TEXT(Orders[[#This Row],[Order_Date]],"mmmm")</f>
        <v>March</v>
      </c>
      <c r="I654">
        <f>YEAR(Orders[[#This Row],[Order_Date]])</f>
        <v>2024</v>
      </c>
      <c r="J654" t="str">
        <f>"Q"&amp;ROUNDUP(MONTH(Orders[[#This Row],[Order_Date]])/3,0)</f>
        <v>Q1</v>
      </c>
      <c r="K654" s="2">
        <f>(Orders[[#This Row],[Profit]]/Orders[[#This Row],[Sales]])*100</f>
        <v>20.628536193029493</v>
      </c>
    </row>
    <row r="655" spans="1:11" x14ac:dyDescent="0.3">
      <c r="A655" t="s">
        <v>899</v>
      </c>
      <c r="B655" s="1">
        <v>45434</v>
      </c>
      <c r="C655" t="s">
        <v>41</v>
      </c>
      <c r="D655" t="s">
        <v>344</v>
      </c>
      <c r="E655">
        <v>1</v>
      </c>
      <c r="F655">
        <v>9101</v>
      </c>
      <c r="G655">
        <v>765.33</v>
      </c>
      <c r="H655" t="str">
        <f>TEXT(Orders[[#This Row],[Order_Date]],"mmmm")</f>
        <v>May</v>
      </c>
      <c r="I655">
        <f>YEAR(Orders[[#This Row],[Order_Date]])</f>
        <v>2024</v>
      </c>
      <c r="J655" t="str">
        <f>"Q"&amp;ROUNDUP(MONTH(Orders[[#This Row],[Order_Date]])/3,0)</f>
        <v>Q2</v>
      </c>
      <c r="K655" s="2">
        <f>(Orders[[#This Row],[Profit]]/Orders[[#This Row],[Sales]])*100</f>
        <v>8.4092956817932087</v>
      </c>
    </row>
    <row r="656" spans="1:11" x14ac:dyDescent="0.3">
      <c r="A656" t="s">
        <v>900</v>
      </c>
      <c r="B656" s="1">
        <v>45553</v>
      </c>
      <c r="C656" t="s">
        <v>68</v>
      </c>
      <c r="D656" t="s">
        <v>266</v>
      </c>
      <c r="E656">
        <v>4</v>
      </c>
      <c r="F656">
        <v>44940</v>
      </c>
      <c r="G656">
        <v>9047.1200000000008</v>
      </c>
      <c r="H656" t="str">
        <f>TEXT(Orders[[#This Row],[Order_Date]],"mmmm")</f>
        <v>September</v>
      </c>
      <c r="I656">
        <f>YEAR(Orders[[#This Row],[Order_Date]])</f>
        <v>2024</v>
      </c>
      <c r="J656" t="str">
        <f>"Q"&amp;ROUNDUP(MONTH(Orders[[#This Row],[Order_Date]])/3,0)</f>
        <v>Q3</v>
      </c>
      <c r="K656" s="2">
        <f>(Orders[[#This Row],[Profit]]/Orders[[#This Row],[Sales]])*100</f>
        <v>20.131553182020472</v>
      </c>
    </row>
    <row r="657" spans="1:11" x14ac:dyDescent="0.3">
      <c r="A657" t="s">
        <v>901</v>
      </c>
      <c r="B657" s="1">
        <v>45345</v>
      </c>
      <c r="C657" t="s">
        <v>88</v>
      </c>
      <c r="D657" t="s">
        <v>231</v>
      </c>
      <c r="E657">
        <v>5</v>
      </c>
      <c r="F657">
        <v>274685</v>
      </c>
      <c r="G657">
        <v>39920.19</v>
      </c>
      <c r="H657" t="str">
        <f>TEXT(Orders[[#This Row],[Order_Date]],"mmmm")</f>
        <v>February</v>
      </c>
      <c r="I657">
        <f>YEAR(Orders[[#This Row],[Order_Date]])</f>
        <v>2024</v>
      </c>
      <c r="J657" t="str">
        <f>"Q"&amp;ROUNDUP(MONTH(Orders[[#This Row],[Order_Date]])/3,0)</f>
        <v>Q1</v>
      </c>
      <c r="K657" s="2">
        <f>(Orders[[#This Row],[Profit]]/Orders[[#This Row],[Sales]])*100</f>
        <v>14.533079709485412</v>
      </c>
    </row>
    <row r="658" spans="1:11" x14ac:dyDescent="0.3">
      <c r="A658" t="s">
        <v>902</v>
      </c>
      <c r="B658" s="1">
        <v>45452</v>
      </c>
      <c r="C658" t="s">
        <v>200</v>
      </c>
      <c r="D658" t="s">
        <v>229</v>
      </c>
      <c r="E658">
        <v>4</v>
      </c>
      <c r="F658">
        <v>35492</v>
      </c>
      <c r="G658">
        <v>4295.95</v>
      </c>
      <c r="H658" t="str">
        <f>TEXT(Orders[[#This Row],[Order_Date]],"mmmm")</f>
        <v>June</v>
      </c>
      <c r="I658">
        <f>YEAR(Orders[[#This Row],[Order_Date]])</f>
        <v>2024</v>
      </c>
      <c r="J658" t="str">
        <f>"Q"&amp;ROUNDUP(MONTH(Orders[[#This Row],[Order_Date]])/3,0)</f>
        <v>Q2</v>
      </c>
      <c r="K658" s="2">
        <f>(Orders[[#This Row],[Profit]]/Orders[[#This Row],[Sales]])*100</f>
        <v>12.103995266538938</v>
      </c>
    </row>
    <row r="659" spans="1:11" x14ac:dyDescent="0.3">
      <c r="A659" t="s">
        <v>903</v>
      </c>
      <c r="B659" s="1">
        <v>45485</v>
      </c>
      <c r="C659" t="s">
        <v>54</v>
      </c>
      <c r="D659" t="s">
        <v>235</v>
      </c>
      <c r="E659">
        <v>1</v>
      </c>
      <c r="F659">
        <v>11342</v>
      </c>
      <c r="G659">
        <v>2120.9899999999998</v>
      </c>
      <c r="H659" t="str">
        <f>TEXT(Orders[[#This Row],[Order_Date]],"mmmm")</f>
        <v>July</v>
      </c>
      <c r="I659">
        <f>YEAR(Orders[[#This Row],[Order_Date]])</f>
        <v>2024</v>
      </c>
      <c r="J659" t="str">
        <f>"Q"&amp;ROUNDUP(MONTH(Orders[[#This Row],[Order_Date]])/3,0)</f>
        <v>Q3</v>
      </c>
      <c r="K659" s="2">
        <f>(Orders[[#This Row],[Profit]]/Orders[[#This Row],[Sales]])*100</f>
        <v>18.700317404337856</v>
      </c>
    </row>
    <row r="660" spans="1:11" x14ac:dyDescent="0.3">
      <c r="A660" t="s">
        <v>904</v>
      </c>
      <c r="B660" s="1">
        <v>45628</v>
      </c>
      <c r="C660" t="s">
        <v>182</v>
      </c>
      <c r="D660" t="s">
        <v>247</v>
      </c>
      <c r="E660">
        <v>3</v>
      </c>
      <c r="F660">
        <v>33468</v>
      </c>
      <c r="G660">
        <v>4640.3599999999997</v>
      </c>
      <c r="H660" t="str">
        <f>TEXT(Orders[[#This Row],[Order_Date]],"mmmm")</f>
        <v>December</v>
      </c>
      <c r="I660">
        <f>YEAR(Orders[[#This Row],[Order_Date]])</f>
        <v>2024</v>
      </c>
      <c r="J660" t="str">
        <f>"Q"&amp;ROUNDUP(MONTH(Orders[[#This Row],[Order_Date]])/3,0)</f>
        <v>Q4</v>
      </c>
      <c r="K660" s="2">
        <f>(Orders[[#This Row],[Profit]]/Orders[[#This Row],[Sales]])*100</f>
        <v>13.865065136847138</v>
      </c>
    </row>
    <row r="661" spans="1:11" x14ac:dyDescent="0.3">
      <c r="A661" t="s">
        <v>905</v>
      </c>
      <c r="B661" s="1">
        <v>45297</v>
      </c>
      <c r="C661" t="s">
        <v>17</v>
      </c>
      <c r="D661" t="s">
        <v>235</v>
      </c>
      <c r="E661">
        <v>4</v>
      </c>
      <c r="F661">
        <v>45368</v>
      </c>
      <c r="G661">
        <v>6075.94</v>
      </c>
      <c r="H661" t="str">
        <f>TEXT(Orders[[#This Row],[Order_Date]],"mmmm")</f>
        <v>January</v>
      </c>
      <c r="I661">
        <f>YEAR(Orders[[#This Row],[Order_Date]])</f>
        <v>2024</v>
      </c>
      <c r="J661" t="str">
        <f>"Q"&amp;ROUNDUP(MONTH(Orders[[#This Row],[Order_Date]])/3,0)</f>
        <v>Q1</v>
      </c>
      <c r="K661" s="2">
        <f>(Orders[[#This Row],[Profit]]/Orders[[#This Row],[Sales]])*100</f>
        <v>13.392567448421794</v>
      </c>
    </row>
    <row r="662" spans="1:11" x14ac:dyDescent="0.3">
      <c r="A662" t="s">
        <v>906</v>
      </c>
      <c r="B662" s="1">
        <v>45492</v>
      </c>
      <c r="C662" t="s">
        <v>214</v>
      </c>
      <c r="D662" t="s">
        <v>241</v>
      </c>
      <c r="E662">
        <v>3</v>
      </c>
      <c r="F662">
        <v>25086</v>
      </c>
      <c r="G662">
        <v>5928.9</v>
      </c>
      <c r="H662" t="str">
        <f>TEXT(Orders[[#This Row],[Order_Date]],"mmmm")</f>
        <v>July</v>
      </c>
      <c r="I662">
        <f>YEAR(Orders[[#This Row],[Order_Date]])</f>
        <v>2024</v>
      </c>
      <c r="J662" t="str">
        <f>"Q"&amp;ROUNDUP(MONTH(Orders[[#This Row],[Order_Date]])/3,0)</f>
        <v>Q3</v>
      </c>
      <c r="K662" s="2">
        <f>(Orders[[#This Row],[Profit]]/Orders[[#This Row],[Sales]])*100</f>
        <v>23.634298014828985</v>
      </c>
    </row>
    <row r="663" spans="1:11" x14ac:dyDescent="0.3">
      <c r="A663" t="s">
        <v>907</v>
      </c>
      <c r="B663" s="1">
        <v>45520</v>
      </c>
      <c r="C663" t="s">
        <v>196</v>
      </c>
      <c r="D663" t="s">
        <v>247</v>
      </c>
      <c r="E663">
        <v>5</v>
      </c>
      <c r="F663">
        <v>55780</v>
      </c>
      <c r="G663">
        <v>12171.73</v>
      </c>
      <c r="H663" t="str">
        <f>TEXT(Orders[[#This Row],[Order_Date]],"mmmm")</f>
        <v>August</v>
      </c>
      <c r="I663">
        <f>YEAR(Orders[[#This Row],[Order_Date]])</f>
        <v>2024</v>
      </c>
      <c r="J663" t="str">
        <f>"Q"&amp;ROUNDUP(MONTH(Orders[[#This Row],[Order_Date]])/3,0)</f>
        <v>Q3</v>
      </c>
      <c r="K663" s="2">
        <f>(Orders[[#This Row],[Profit]]/Orders[[#This Row],[Sales]])*100</f>
        <v>21.820957332377194</v>
      </c>
    </row>
    <row r="664" spans="1:11" x14ac:dyDescent="0.3">
      <c r="A664" t="s">
        <v>908</v>
      </c>
      <c r="B664" s="1">
        <v>45355</v>
      </c>
      <c r="C664" t="s">
        <v>194</v>
      </c>
      <c r="D664" t="s">
        <v>239</v>
      </c>
      <c r="E664">
        <v>4</v>
      </c>
      <c r="F664">
        <v>100636</v>
      </c>
      <c r="G664">
        <v>14999.89</v>
      </c>
      <c r="H664" t="str">
        <f>TEXT(Orders[[#This Row],[Order_Date]],"mmmm")</f>
        <v>March</v>
      </c>
      <c r="I664">
        <f>YEAR(Orders[[#This Row],[Order_Date]])</f>
        <v>2024</v>
      </c>
      <c r="J664" t="str">
        <f>"Q"&amp;ROUNDUP(MONTH(Orders[[#This Row],[Order_Date]])/3,0)</f>
        <v>Q1</v>
      </c>
      <c r="K664" s="2">
        <f>(Orders[[#This Row],[Profit]]/Orders[[#This Row],[Sales]])*100</f>
        <v>14.905093604674272</v>
      </c>
    </row>
    <row r="665" spans="1:11" x14ac:dyDescent="0.3">
      <c r="A665" t="s">
        <v>909</v>
      </c>
      <c r="B665" s="1">
        <v>45577</v>
      </c>
      <c r="C665" t="s">
        <v>164</v>
      </c>
      <c r="D665" t="s">
        <v>344</v>
      </c>
      <c r="E665">
        <v>1</v>
      </c>
      <c r="F665">
        <v>9101</v>
      </c>
      <c r="G665">
        <v>2143.61</v>
      </c>
      <c r="H665" t="str">
        <f>TEXT(Orders[[#This Row],[Order_Date]],"mmmm")</f>
        <v>October</v>
      </c>
      <c r="I665">
        <f>YEAR(Orders[[#This Row],[Order_Date]])</f>
        <v>2024</v>
      </c>
      <c r="J665" t="str">
        <f>"Q"&amp;ROUNDUP(MONTH(Orders[[#This Row],[Order_Date]])/3,0)</f>
        <v>Q4</v>
      </c>
      <c r="K665" s="2">
        <f>(Orders[[#This Row],[Profit]]/Orders[[#This Row],[Sales]])*100</f>
        <v>23.553565542248105</v>
      </c>
    </row>
    <row r="666" spans="1:11" x14ac:dyDescent="0.3">
      <c r="A666" t="s">
        <v>910</v>
      </c>
      <c r="B666" s="1">
        <v>45312</v>
      </c>
      <c r="C666" t="s">
        <v>172</v>
      </c>
      <c r="D666" t="s">
        <v>283</v>
      </c>
      <c r="E666">
        <v>3</v>
      </c>
      <c r="F666">
        <v>162561</v>
      </c>
      <c r="G666">
        <v>17857.05</v>
      </c>
      <c r="H666" t="str">
        <f>TEXT(Orders[[#This Row],[Order_Date]],"mmmm")</f>
        <v>January</v>
      </c>
      <c r="I666">
        <f>YEAR(Orders[[#This Row],[Order_Date]])</f>
        <v>2024</v>
      </c>
      <c r="J666" t="str">
        <f>"Q"&amp;ROUNDUP(MONTH(Orders[[#This Row],[Order_Date]])/3,0)</f>
        <v>Q1</v>
      </c>
      <c r="K666" s="2">
        <f>(Orders[[#This Row],[Profit]]/Orders[[#This Row],[Sales]])*100</f>
        <v>10.984830309852917</v>
      </c>
    </row>
    <row r="667" spans="1:11" x14ac:dyDescent="0.3">
      <c r="A667" t="s">
        <v>911</v>
      </c>
      <c r="B667" s="1">
        <v>45502</v>
      </c>
      <c r="C667" t="s">
        <v>56</v>
      </c>
      <c r="D667" t="s">
        <v>279</v>
      </c>
      <c r="E667">
        <v>5</v>
      </c>
      <c r="F667">
        <v>31100</v>
      </c>
      <c r="G667">
        <v>6195</v>
      </c>
      <c r="H667" t="str">
        <f>TEXT(Orders[[#This Row],[Order_Date]],"mmmm")</f>
        <v>July</v>
      </c>
      <c r="I667">
        <f>YEAR(Orders[[#This Row],[Order_Date]])</f>
        <v>2024</v>
      </c>
      <c r="J667" t="str">
        <f>"Q"&amp;ROUNDUP(MONTH(Orders[[#This Row],[Order_Date]])/3,0)</f>
        <v>Q3</v>
      </c>
      <c r="K667" s="2">
        <f>(Orders[[#This Row],[Profit]]/Orders[[#This Row],[Sales]])*100</f>
        <v>19.919614147909968</v>
      </c>
    </row>
    <row r="668" spans="1:11" x14ac:dyDescent="0.3">
      <c r="A668" t="s">
        <v>912</v>
      </c>
      <c r="B668" s="1">
        <v>45442</v>
      </c>
      <c r="C668" t="s">
        <v>184</v>
      </c>
      <c r="D668" t="s">
        <v>257</v>
      </c>
      <c r="E668">
        <v>5</v>
      </c>
      <c r="F668">
        <v>33735</v>
      </c>
      <c r="G668">
        <v>5389.43</v>
      </c>
      <c r="H668" t="str">
        <f>TEXT(Orders[[#This Row],[Order_Date]],"mmmm")</f>
        <v>May</v>
      </c>
      <c r="I668">
        <f>YEAR(Orders[[#This Row],[Order_Date]])</f>
        <v>2024</v>
      </c>
      <c r="J668" t="str">
        <f>"Q"&amp;ROUNDUP(MONTH(Orders[[#This Row],[Order_Date]])/3,0)</f>
        <v>Q2</v>
      </c>
      <c r="K668" s="2">
        <f>(Orders[[#This Row],[Profit]]/Orders[[#This Row],[Sales]])*100</f>
        <v>15.975781828961019</v>
      </c>
    </row>
    <row r="669" spans="1:11" x14ac:dyDescent="0.3">
      <c r="A669" t="s">
        <v>913</v>
      </c>
      <c r="B669" s="1">
        <v>45309</v>
      </c>
      <c r="C669" t="s">
        <v>168</v>
      </c>
      <c r="D669" t="s">
        <v>235</v>
      </c>
      <c r="E669">
        <v>3</v>
      </c>
      <c r="F669">
        <v>34026</v>
      </c>
      <c r="G669">
        <v>7009.34</v>
      </c>
      <c r="H669" t="str">
        <f>TEXT(Orders[[#This Row],[Order_Date]],"mmmm")</f>
        <v>January</v>
      </c>
      <c r="I669">
        <f>YEAR(Orders[[#This Row],[Order_Date]])</f>
        <v>2024</v>
      </c>
      <c r="J669" t="str">
        <f>"Q"&amp;ROUNDUP(MONTH(Orders[[#This Row],[Order_Date]])/3,0)</f>
        <v>Q1</v>
      </c>
      <c r="K669" s="2">
        <f>(Orders[[#This Row],[Profit]]/Orders[[#This Row],[Sales]])*100</f>
        <v>20.599952977135132</v>
      </c>
    </row>
    <row r="670" spans="1:11" x14ac:dyDescent="0.3">
      <c r="A670" t="s">
        <v>914</v>
      </c>
      <c r="B670" s="1">
        <v>45502</v>
      </c>
      <c r="C670" t="s">
        <v>218</v>
      </c>
      <c r="D670" t="s">
        <v>229</v>
      </c>
      <c r="E670">
        <v>5</v>
      </c>
      <c r="F670">
        <v>44365</v>
      </c>
      <c r="G670">
        <v>10640.65</v>
      </c>
      <c r="H670" t="str">
        <f>TEXT(Orders[[#This Row],[Order_Date]],"mmmm")</f>
        <v>July</v>
      </c>
      <c r="I670">
        <f>YEAR(Orders[[#This Row],[Order_Date]])</f>
        <v>2024</v>
      </c>
      <c r="J670" t="str">
        <f>"Q"&amp;ROUNDUP(MONTH(Orders[[#This Row],[Order_Date]])/3,0)</f>
        <v>Q3</v>
      </c>
      <c r="K670" s="2">
        <f>(Orders[[#This Row],[Profit]]/Orders[[#This Row],[Sales]])*100</f>
        <v>23.984334497915022</v>
      </c>
    </row>
    <row r="671" spans="1:11" x14ac:dyDescent="0.3">
      <c r="A671" t="s">
        <v>915</v>
      </c>
      <c r="B671" s="1">
        <v>45587</v>
      </c>
      <c r="C671" t="s">
        <v>56</v>
      </c>
      <c r="D671" t="s">
        <v>233</v>
      </c>
      <c r="E671">
        <v>2</v>
      </c>
      <c r="F671">
        <v>111390</v>
      </c>
      <c r="G671">
        <v>17493.810000000001</v>
      </c>
      <c r="H671" t="str">
        <f>TEXT(Orders[[#This Row],[Order_Date]],"mmmm")</f>
        <v>October</v>
      </c>
      <c r="I671">
        <f>YEAR(Orders[[#This Row],[Order_Date]])</f>
        <v>2024</v>
      </c>
      <c r="J671" t="str">
        <f>"Q"&amp;ROUNDUP(MONTH(Orders[[#This Row],[Order_Date]])/3,0)</f>
        <v>Q4</v>
      </c>
      <c r="K671" s="2">
        <f>(Orders[[#This Row],[Profit]]/Orders[[#This Row],[Sales]])*100</f>
        <v>15.705009426339888</v>
      </c>
    </row>
    <row r="672" spans="1:11" x14ac:dyDescent="0.3">
      <c r="A672" t="s">
        <v>916</v>
      </c>
      <c r="B672" s="1">
        <v>45332</v>
      </c>
      <c r="C672" t="s">
        <v>162</v>
      </c>
      <c r="D672" t="s">
        <v>260</v>
      </c>
      <c r="E672">
        <v>5</v>
      </c>
      <c r="F672">
        <v>279750</v>
      </c>
      <c r="G672">
        <v>64922.9</v>
      </c>
      <c r="H672" t="str">
        <f>TEXT(Orders[[#This Row],[Order_Date]],"mmmm")</f>
        <v>February</v>
      </c>
      <c r="I672">
        <f>YEAR(Orders[[#This Row],[Order_Date]])</f>
        <v>2024</v>
      </c>
      <c r="J672" t="str">
        <f>"Q"&amp;ROUNDUP(MONTH(Orders[[#This Row],[Order_Date]])/3,0)</f>
        <v>Q1</v>
      </c>
      <c r="K672" s="2">
        <f>(Orders[[#This Row],[Profit]]/Orders[[#This Row],[Sales]])*100</f>
        <v>23.207470956210905</v>
      </c>
    </row>
    <row r="673" spans="1:11" x14ac:dyDescent="0.3">
      <c r="A673" t="s">
        <v>917</v>
      </c>
      <c r="B673" s="1">
        <v>45492</v>
      </c>
      <c r="C673" t="s">
        <v>174</v>
      </c>
      <c r="D673" t="s">
        <v>245</v>
      </c>
      <c r="E673">
        <v>5</v>
      </c>
      <c r="F673">
        <v>121180</v>
      </c>
      <c r="G673">
        <v>17788.939999999999</v>
      </c>
      <c r="H673" t="str">
        <f>TEXT(Orders[[#This Row],[Order_Date]],"mmmm")</f>
        <v>July</v>
      </c>
      <c r="I673">
        <f>YEAR(Orders[[#This Row],[Order_Date]])</f>
        <v>2024</v>
      </c>
      <c r="J673" t="str">
        <f>"Q"&amp;ROUNDUP(MONTH(Orders[[#This Row],[Order_Date]])/3,0)</f>
        <v>Q3</v>
      </c>
      <c r="K673" s="2">
        <f>(Orders[[#This Row],[Profit]]/Orders[[#This Row],[Sales]])*100</f>
        <v>14.679765637894041</v>
      </c>
    </row>
    <row r="674" spans="1:11" x14ac:dyDescent="0.3">
      <c r="A674" t="s">
        <v>918</v>
      </c>
      <c r="B674" s="1">
        <v>45616</v>
      </c>
      <c r="C674" t="s">
        <v>144</v>
      </c>
      <c r="D674" t="s">
        <v>247</v>
      </c>
      <c r="E674">
        <v>3</v>
      </c>
      <c r="F674">
        <v>33468</v>
      </c>
      <c r="G674">
        <v>3585.42</v>
      </c>
      <c r="H674" t="str">
        <f>TEXT(Orders[[#This Row],[Order_Date]],"mmmm")</f>
        <v>November</v>
      </c>
      <c r="I674">
        <f>YEAR(Orders[[#This Row],[Order_Date]])</f>
        <v>2024</v>
      </c>
      <c r="J674" t="str">
        <f>"Q"&amp;ROUNDUP(MONTH(Orders[[#This Row],[Order_Date]])/3,0)</f>
        <v>Q4</v>
      </c>
      <c r="K674" s="2">
        <f>(Orders[[#This Row],[Profit]]/Orders[[#This Row],[Sales]])*100</f>
        <v>10.712979562567229</v>
      </c>
    </row>
    <row r="675" spans="1:11" x14ac:dyDescent="0.3">
      <c r="A675" t="s">
        <v>919</v>
      </c>
      <c r="B675" s="1">
        <v>45296</v>
      </c>
      <c r="C675" t="s">
        <v>88</v>
      </c>
      <c r="D675" t="s">
        <v>229</v>
      </c>
      <c r="E675">
        <v>3</v>
      </c>
      <c r="F675">
        <v>26619</v>
      </c>
      <c r="G675">
        <v>2694.45</v>
      </c>
      <c r="H675" t="str">
        <f>TEXT(Orders[[#This Row],[Order_Date]],"mmmm")</f>
        <v>January</v>
      </c>
      <c r="I675">
        <f>YEAR(Orders[[#This Row],[Order_Date]])</f>
        <v>2024</v>
      </c>
      <c r="J675" t="str">
        <f>"Q"&amp;ROUNDUP(MONTH(Orders[[#This Row],[Order_Date]])/3,0)</f>
        <v>Q1</v>
      </c>
      <c r="K675" s="2">
        <f>(Orders[[#This Row],[Profit]]/Orders[[#This Row],[Sales]])*100</f>
        <v>10.1222810774259</v>
      </c>
    </row>
    <row r="676" spans="1:11" x14ac:dyDescent="0.3">
      <c r="A676" t="s">
        <v>920</v>
      </c>
      <c r="B676" s="1">
        <v>45530</v>
      </c>
      <c r="C676" t="s">
        <v>49</v>
      </c>
      <c r="D676" t="s">
        <v>239</v>
      </c>
      <c r="E676">
        <v>4</v>
      </c>
      <c r="F676">
        <v>100636</v>
      </c>
      <c r="G676">
        <v>24247.1</v>
      </c>
      <c r="H676" t="str">
        <f>TEXT(Orders[[#This Row],[Order_Date]],"mmmm")</f>
        <v>August</v>
      </c>
      <c r="I676">
        <f>YEAR(Orders[[#This Row],[Order_Date]])</f>
        <v>2024</v>
      </c>
      <c r="J676" t="str">
        <f>"Q"&amp;ROUNDUP(MONTH(Orders[[#This Row],[Order_Date]])/3,0)</f>
        <v>Q3</v>
      </c>
      <c r="K676" s="2">
        <f>(Orders[[#This Row],[Profit]]/Orders[[#This Row],[Sales]])*100</f>
        <v>24.093863031122062</v>
      </c>
    </row>
    <row r="677" spans="1:11" x14ac:dyDescent="0.3">
      <c r="A677" t="s">
        <v>921</v>
      </c>
      <c r="B677" s="1">
        <v>45347</v>
      </c>
      <c r="C677" t="s">
        <v>80</v>
      </c>
      <c r="D677" t="s">
        <v>227</v>
      </c>
      <c r="E677">
        <v>1</v>
      </c>
      <c r="F677">
        <v>9394</v>
      </c>
      <c r="G677">
        <v>1110.58</v>
      </c>
      <c r="H677" t="str">
        <f>TEXT(Orders[[#This Row],[Order_Date]],"mmmm")</f>
        <v>February</v>
      </c>
      <c r="I677">
        <f>YEAR(Orders[[#This Row],[Order_Date]])</f>
        <v>2024</v>
      </c>
      <c r="J677" t="str">
        <f>"Q"&amp;ROUNDUP(MONTH(Orders[[#This Row],[Order_Date]])/3,0)</f>
        <v>Q1</v>
      </c>
      <c r="K677" s="2">
        <f>(Orders[[#This Row],[Profit]]/Orders[[#This Row],[Sales]])*100</f>
        <v>11.822226953374495</v>
      </c>
    </row>
    <row r="678" spans="1:11" x14ac:dyDescent="0.3">
      <c r="A678" t="s">
        <v>922</v>
      </c>
      <c r="B678" s="1">
        <v>45314</v>
      </c>
      <c r="C678" t="s">
        <v>43</v>
      </c>
      <c r="D678" t="s">
        <v>247</v>
      </c>
      <c r="E678">
        <v>5</v>
      </c>
      <c r="F678">
        <v>55780</v>
      </c>
      <c r="G678">
        <v>10697.8</v>
      </c>
      <c r="H678" t="str">
        <f>TEXT(Orders[[#This Row],[Order_Date]],"mmmm")</f>
        <v>January</v>
      </c>
      <c r="I678">
        <f>YEAR(Orders[[#This Row],[Order_Date]])</f>
        <v>2024</v>
      </c>
      <c r="J678" t="str">
        <f>"Q"&amp;ROUNDUP(MONTH(Orders[[#This Row],[Order_Date]])/3,0)</f>
        <v>Q1</v>
      </c>
      <c r="K678" s="2">
        <f>(Orders[[#This Row],[Profit]]/Orders[[#This Row],[Sales]])*100</f>
        <v>19.178558623162424</v>
      </c>
    </row>
    <row r="679" spans="1:11" x14ac:dyDescent="0.3">
      <c r="A679" t="s">
        <v>923</v>
      </c>
      <c r="B679" s="1">
        <v>45350</v>
      </c>
      <c r="C679" t="s">
        <v>84</v>
      </c>
      <c r="D679" t="s">
        <v>283</v>
      </c>
      <c r="E679">
        <v>2</v>
      </c>
      <c r="F679">
        <v>108374</v>
      </c>
      <c r="G679">
        <v>23687.75</v>
      </c>
      <c r="H679" t="str">
        <f>TEXT(Orders[[#This Row],[Order_Date]],"mmmm")</f>
        <v>February</v>
      </c>
      <c r="I679">
        <f>YEAR(Orders[[#This Row],[Order_Date]])</f>
        <v>2024</v>
      </c>
      <c r="J679" t="str">
        <f>"Q"&amp;ROUNDUP(MONTH(Orders[[#This Row],[Order_Date]])/3,0)</f>
        <v>Q1</v>
      </c>
      <c r="K679" s="2">
        <f>(Orders[[#This Row],[Profit]]/Orders[[#This Row],[Sales]])*100</f>
        <v>21.857410449000682</v>
      </c>
    </row>
    <row r="680" spans="1:11" x14ac:dyDescent="0.3">
      <c r="A680" t="s">
        <v>924</v>
      </c>
      <c r="B680" s="1">
        <v>45406</v>
      </c>
      <c r="C680" t="s">
        <v>29</v>
      </c>
      <c r="D680" t="s">
        <v>229</v>
      </c>
      <c r="E680">
        <v>5</v>
      </c>
      <c r="F680">
        <v>44365</v>
      </c>
      <c r="G680">
        <v>8256.3799999999992</v>
      </c>
      <c r="H680" t="str">
        <f>TEXT(Orders[[#This Row],[Order_Date]],"mmmm")</f>
        <v>April</v>
      </c>
      <c r="I680">
        <f>YEAR(Orders[[#This Row],[Order_Date]])</f>
        <v>2024</v>
      </c>
      <c r="J680" t="str">
        <f>"Q"&amp;ROUNDUP(MONTH(Orders[[#This Row],[Order_Date]])/3,0)</f>
        <v>Q2</v>
      </c>
      <c r="K680" s="2">
        <f>(Orders[[#This Row],[Profit]]/Orders[[#This Row],[Sales]])*100</f>
        <v>18.610120590555617</v>
      </c>
    </row>
    <row r="681" spans="1:11" x14ac:dyDescent="0.3">
      <c r="A681" t="s">
        <v>925</v>
      </c>
      <c r="B681" s="1">
        <v>45379</v>
      </c>
      <c r="C681" t="s">
        <v>60</v>
      </c>
      <c r="D681" t="s">
        <v>241</v>
      </c>
      <c r="E681">
        <v>5</v>
      </c>
      <c r="F681">
        <v>41810</v>
      </c>
      <c r="G681">
        <v>6822.92</v>
      </c>
      <c r="H681" t="str">
        <f>TEXT(Orders[[#This Row],[Order_Date]],"mmmm")</f>
        <v>March</v>
      </c>
      <c r="I681">
        <f>YEAR(Orders[[#This Row],[Order_Date]])</f>
        <v>2024</v>
      </c>
      <c r="J681" t="str">
        <f>"Q"&amp;ROUNDUP(MONTH(Orders[[#This Row],[Order_Date]])/3,0)</f>
        <v>Q1</v>
      </c>
      <c r="K681" s="2">
        <f>(Orders[[#This Row],[Profit]]/Orders[[#This Row],[Sales]])*100</f>
        <v>16.318871083472853</v>
      </c>
    </row>
    <row r="682" spans="1:11" x14ac:dyDescent="0.3">
      <c r="A682" t="s">
        <v>926</v>
      </c>
      <c r="B682" s="1">
        <v>45581</v>
      </c>
      <c r="C682" t="s">
        <v>110</v>
      </c>
      <c r="D682" t="s">
        <v>235</v>
      </c>
      <c r="E682">
        <v>4</v>
      </c>
      <c r="F682">
        <v>45368</v>
      </c>
      <c r="G682">
        <v>10005.66</v>
      </c>
      <c r="H682" t="str">
        <f>TEXT(Orders[[#This Row],[Order_Date]],"mmmm")</f>
        <v>October</v>
      </c>
      <c r="I682">
        <f>YEAR(Orders[[#This Row],[Order_Date]])</f>
        <v>2024</v>
      </c>
      <c r="J682" t="str">
        <f>"Q"&amp;ROUNDUP(MONTH(Orders[[#This Row],[Order_Date]])/3,0)</f>
        <v>Q4</v>
      </c>
      <c r="K682" s="2">
        <f>(Orders[[#This Row],[Profit]]/Orders[[#This Row],[Sales]])*100</f>
        <v>22.05444366073003</v>
      </c>
    </row>
    <row r="683" spans="1:11" x14ac:dyDescent="0.3">
      <c r="A683" t="s">
        <v>927</v>
      </c>
      <c r="B683" s="1">
        <v>45328</v>
      </c>
      <c r="C683" t="s">
        <v>190</v>
      </c>
      <c r="D683" t="s">
        <v>257</v>
      </c>
      <c r="E683">
        <v>3</v>
      </c>
      <c r="F683">
        <v>20241</v>
      </c>
      <c r="G683">
        <v>3443.38</v>
      </c>
      <c r="H683" t="str">
        <f>TEXT(Orders[[#This Row],[Order_Date]],"mmmm")</f>
        <v>February</v>
      </c>
      <c r="I683">
        <f>YEAR(Orders[[#This Row],[Order_Date]])</f>
        <v>2024</v>
      </c>
      <c r="J683" t="str">
        <f>"Q"&amp;ROUNDUP(MONTH(Orders[[#This Row],[Order_Date]])/3,0)</f>
        <v>Q1</v>
      </c>
      <c r="K683" s="2">
        <f>(Orders[[#This Row],[Profit]]/Orders[[#This Row],[Sales]])*100</f>
        <v>17.011906526357393</v>
      </c>
    </row>
    <row r="684" spans="1:11" x14ac:dyDescent="0.3">
      <c r="A684" t="s">
        <v>928</v>
      </c>
      <c r="B684" s="1">
        <v>45444</v>
      </c>
      <c r="C684" t="s">
        <v>180</v>
      </c>
      <c r="D684" t="s">
        <v>247</v>
      </c>
      <c r="E684">
        <v>1</v>
      </c>
      <c r="F684">
        <v>11156</v>
      </c>
      <c r="G684">
        <v>2425.1999999999998</v>
      </c>
      <c r="H684" t="str">
        <f>TEXT(Orders[[#This Row],[Order_Date]],"mmmm")</f>
        <v>June</v>
      </c>
      <c r="I684">
        <f>YEAR(Orders[[#This Row],[Order_Date]])</f>
        <v>2024</v>
      </c>
      <c r="J684" t="str">
        <f>"Q"&amp;ROUNDUP(MONTH(Orders[[#This Row],[Order_Date]])/3,0)</f>
        <v>Q2</v>
      </c>
      <c r="K684" s="2">
        <f>(Orders[[#This Row],[Profit]]/Orders[[#This Row],[Sales]])*100</f>
        <v>21.738974542846897</v>
      </c>
    </row>
    <row r="685" spans="1:11" x14ac:dyDescent="0.3">
      <c r="A685" t="s">
        <v>929</v>
      </c>
      <c r="B685" s="1">
        <v>45631</v>
      </c>
      <c r="C685" t="s">
        <v>43</v>
      </c>
      <c r="D685" t="s">
        <v>266</v>
      </c>
      <c r="E685">
        <v>1</v>
      </c>
      <c r="F685">
        <v>11235</v>
      </c>
      <c r="G685">
        <v>900.06</v>
      </c>
      <c r="H685" t="str">
        <f>TEXT(Orders[[#This Row],[Order_Date]],"mmmm")</f>
        <v>December</v>
      </c>
      <c r="I685">
        <f>YEAR(Orders[[#This Row],[Order_Date]])</f>
        <v>2024</v>
      </c>
      <c r="J685" t="str">
        <f>"Q"&amp;ROUNDUP(MONTH(Orders[[#This Row],[Order_Date]])/3,0)</f>
        <v>Q4</v>
      </c>
      <c r="K685" s="2">
        <f>(Orders[[#This Row],[Profit]]/Orders[[#This Row],[Sales]])*100</f>
        <v>8.0112149532710273</v>
      </c>
    </row>
    <row r="686" spans="1:11" x14ac:dyDescent="0.3">
      <c r="A686" t="s">
        <v>930</v>
      </c>
      <c r="B686" s="1">
        <v>45610</v>
      </c>
      <c r="C686" t="s">
        <v>29</v>
      </c>
      <c r="D686" t="s">
        <v>231</v>
      </c>
      <c r="E686">
        <v>5</v>
      </c>
      <c r="F686">
        <v>274685</v>
      </c>
      <c r="G686">
        <v>36216.9</v>
      </c>
      <c r="H686" t="str">
        <f>TEXT(Orders[[#This Row],[Order_Date]],"mmmm")</f>
        <v>November</v>
      </c>
      <c r="I686">
        <f>YEAR(Orders[[#This Row],[Order_Date]])</f>
        <v>2024</v>
      </c>
      <c r="J686" t="str">
        <f>"Q"&amp;ROUNDUP(MONTH(Orders[[#This Row],[Order_Date]])/3,0)</f>
        <v>Q4</v>
      </c>
      <c r="K686" s="2">
        <f>(Orders[[#This Row],[Profit]]/Orders[[#This Row],[Sales]])*100</f>
        <v>13.184884504068298</v>
      </c>
    </row>
    <row r="687" spans="1:11" x14ac:dyDescent="0.3">
      <c r="A687" t="s">
        <v>931</v>
      </c>
      <c r="B687" s="1">
        <v>45622</v>
      </c>
      <c r="C687" t="s">
        <v>214</v>
      </c>
      <c r="D687" t="s">
        <v>231</v>
      </c>
      <c r="E687">
        <v>4</v>
      </c>
      <c r="F687">
        <v>219748</v>
      </c>
      <c r="G687">
        <v>31895.9</v>
      </c>
      <c r="H687" t="str">
        <f>TEXT(Orders[[#This Row],[Order_Date]],"mmmm")</f>
        <v>November</v>
      </c>
      <c r="I687">
        <f>YEAR(Orders[[#This Row],[Order_Date]])</f>
        <v>2024</v>
      </c>
      <c r="J687" t="str">
        <f>"Q"&amp;ROUNDUP(MONTH(Orders[[#This Row],[Order_Date]])/3,0)</f>
        <v>Q4</v>
      </c>
      <c r="K687" s="2">
        <f>(Orders[[#This Row],[Profit]]/Orders[[#This Row],[Sales]])*100</f>
        <v>14.514762364162587</v>
      </c>
    </row>
    <row r="688" spans="1:11" x14ac:dyDescent="0.3">
      <c r="A688" t="s">
        <v>932</v>
      </c>
      <c r="B688" s="1">
        <v>45304</v>
      </c>
      <c r="C688" t="s">
        <v>76</v>
      </c>
      <c r="D688" t="s">
        <v>279</v>
      </c>
      <c r="E688">
        <v>2</v>
      </c>
      <c r="F688">
        <v>12440</v>
      </c>
      <c r="G688">
        <v>2073.13</v>
      </c>
      <c r="H688" t="str">
        <f>TEXT(Orders[[#This Row],[Order_Date]],"mmmm")</f>
        <v>January</v>
      </c>
      <c r="I688">
        <f>YEAR(Orders[[#This Row],[Order_Date]])</f>
        <v>2024</v>
      </c>
      <c r="J688" t="str">
        <f>"Q"&amp;ROUNDUP(MONTH(Orders[[#This Row],[Order_Date]])/3,0)</f>
        <v>Q1</v>
      </c>
      <c r="K688" s="2">
        <f>(Orders[[#This Row],[Profit]]/Orders[[#This Row],[Sales]])*100</f>
        <v>16.665032154340835</v>
      </c>
    </row>
    <row r="689" spans="1:11" x14ac:dyDescent="0.3">
      <c r="A689" t="s">
        <v>933</v>
      </c>
      <c r="B689" s="1">
        <v>45636</v>
      </c>
      <c r="C689" t="s">
        <v>112</v>
      </c>
      <c r="D689" t="s">
        <v>266</v>
      </c>
      <c r="E689">
        <v>1</v>
      </c>
      <c r="F689">
        <v>11235</v>
      </c>
      <c r="G689">
        <v>2795.84</v>
      </c>
      <c r="H689" t="str">
        <f>TEXT(Orders[[#This Row],[Order_Date]],"mmmm")</f>
        <v>December</v>
      </c>
      <c r="I689">
        <f>YEAR(Orders[[#This Row],[Order_Date]])</f>
        <v>2024</v>
      </c>
      <c r="J689" t="str">
        <f>"Q"&amp;ROUNDUP(MONTH(Orders[[#This Row],[Order_Date]])/3,0)</f>
        <v>Q4</v>
      </c>
      <c r="K689" s="2">
        <f>(Orders[[#This Row],[Profit]]/Orders[[#This Row],[Sales]])*100</f>
        <v>24.885091232754785</v>
      </c>
    </row>
    <row r="690" spans="1:11" x14ac:dyDescent="0.3">
      <c r="A690" t="s">
        <v>934</v>
      </c>
      <c r="B690" s="1">
        <v>45400</v>
      </c>
      <c r="C690" t="s">
        <v>58</v>
      </c>
      <c r="D690" t="s">
        <v>231</v>
      </c>
      <c r="E690">
        <v>1</v>
      </c>
      <c r="F690">
        <v>54937</v>
      </c>
      <c r="G690">
        <v>7880.66</v>
      </c>
      <c r="H690" t="str">
        <f>TEXT(Orders[[#This Row],[Order_Date]],"mmmm")</f>
        <v>April</v>
      </c>
      <c r="I690">
        <f>YEAR(Orders[[#This Row],[Order_Date]])</f>
        <v>2024</v>
      </c>
      <c r="J690" t="str">
        <f>"Q"&amp;ROUNDUP(MONTH(Orders[[#This Row],[Order_Date]])/3,0)</f>
        <v>Q2</v>
      </c>
      <c r="K690" s="2">
        <f>(Orders[[#This Row],[Profit]]/Orders[[#This Row],[Sales]])*100</f>
        <v>14.344904162950289</v>
      </c>
    </row>
    <row r="691" spans="1:11" x14ac:dyDescent="0.3">
      <c r="A691" t="s">
        <v>935</v>
      </c>
      <c r="B691" s="1">
        <v>45606</v>
      </c>
      <c r="C691" t="s">
        <v>104</v>
      </c>
      <c r="D691" t="s">
        <v>235</v>
      </c>
      <c r="E691">
        <v>2</v>
      </c>
      <c r="F691">
        <v>22684</v>
      </c>
      <c r="G691">
        <v>3967.32</v>
      </c>
      <c r="H691" t="str">
        <f>TEXT(Orders[[#This Row],[Order_Date]],"mmmm")</f>
        <v>November</v>
      </c>
      <c r="I691">
        <f>YEAR(Orders[[#This Row],[Order_Date]])</f>
        <v>2024</v>
      </c>
      <c r="J691" t="str">
        <f>"Q"&amp;ROUNDUP(MONTH(Orders[[#This Row],[Order_Date]])/3,0)</f>
        <v>Q4</v>
      </c>
      <c r="K691" s="2">
        <f>(Orders[[#This Row],[Profit]]/Orders[[#This Row],[Sales]])*100</f>
        <v>17.489508023276318</v>
      </c>
    </row>
    <row r="692" spans="1:11" x14ac:dyDescent="0.3">
      <c r="A692" t="s">
        <v>936</v>
      </c>
      <c r="B692" s="1">
        <v>45357</v>
      </c>
      <c r="C692" t="s">
        <v>7</v>
      </c>
      <c r="D692" t="s">
        <v>227</v>
      </c>
      <c r="E692">
        <v>4</v>
      </c>
      <c r="F692">
        <v>37576</v>
      </c>
      <c r="G692">
        <v>5298.25</v>
      </c>
      <c r="H692" t="str">
        <f>TEXT(Orders[[#This Row],[Order_Date]],"mmmm")</f>
        <v>March</v>
      </c>
      <c r="I692">
        <f>YEAR(Orders[[#This Row],[Order_Date]])</f>
        <v>2024</v>
      </c>
      <c r="J692" t="str">
        <f>"Q"&amp;ROUNDUP(MONTH(Orders[[#This Row],[Order_Date]])/3,0)</f>
        <v>Q1</v>
      </c>
      <c r="K692" s="2">
        <f>(Orders[[#This Row],[Profit]]/Orders[[#This Row],[Sales]])*100</f>
        <v>14.100090483287206</v>
      </c>
    </row>
    <row r="693" spans="1:11" x14ac:dyDescent="0.3">
      <c r="A693" t="s">
        <v>937</v>
      </c>
      <c r="B693" s="1">
        <v>45517</v>
      </c>
      <c r="C693" t="s">
        <v>124</v>
      </c>
      <c r="D693" t="s">
        <v>233</v>
      </c>
      <c r="E693">
        <v>4</v>
      </c>
      <c r="F693">
        <v>222780</v>
      </c>
      <c r="G693">
        <v>51909.23</v>
      </c>
      <c r="H693" t="str">
        <f>TEXT(Orders[[#This Row],[Order_Date]],"mmmm")</f>
        <v>August</v>
      </c>
      <c r="I693">
        <f>YEAR(Orders[[#This Row],[Order_Date]])</f>
        <v>2024</v>
      </c>
      <c r="J693" t="str">
        <f>"Q"&amp;ROUNDUP(MONTH(Orders[[#This Row],[Order_Date]])/3,0)</f>
        <v>Q3</v>
      </c>
      <c r="K693" s="2">
        <f>(Orders[[#This Row],[Profit]]/Orders[[#This Row],[Sales]])*100</f>
        <v>23.30066882125864</v>
      </c>
    </row>
    <row r="694" spans="1:11" x14ac:dyDescent="0.3">
      <c r="A694" t="s">
        <v>938</v>
      </c>
      <c r="B694" s="1">
        <v>45555</v>
      </c>
      <c r="C694" t="s">
        <v>47</v>
      </c>
      <c r="D694" t="s">
        <v>231</v>
      </c>
      <c r="E694">
        <v>1</v>
      </c>
      <c r="F694">
        <v>54937</v>
      </c>
      <c r="G694">
        <v>9320.19</v>
      </c>
      <c r="H694" t="str">
        <f>TEXT(Orders[[#This Row],[Order_Date]],"mmmm")</f>
        <v>September</v>
      </c>
      <c r="I694">
        <f>YEAR(Orders[[#This Row],[Order_Date]])</f>
        <v>2024</v>
      </c>
      <c r="J694" t="str">
        <f>"Q"&amp;ROUNDUP(MONTH(Orders[[#This Row],[Order_Date]])/3,0)</f>
        <v>Q3</v>
      </c>
      <c r="K694" s="2">
        <f>(Orders[[#This Row],[Profit]]/Orders[[#This Row],[Sales]])*100</f>
        <v>16.965232903143601</v>
      </c>
    </row>
    <row r="695" spans="1:11" x14ac:dyDescent="0.3">
      <c r="A695" t="s">
        <v>939</v>
      </c>
      <c r="B695" s="1">
        <v>45415</v>
      </c>
      <c r="C695" t="s">
        <v>100</v>
      </c>
      <c r="D695" t="s">
        <v>263</v>
      </c>
      <c r="E695">
        <v>2</v>
      </c>
      <c r="F695">
        <v>14310</v>
      </c>
      <c r="G695">
        <v>1702.86</v>
      </c>
      <c r="H695" t="str">
        <f>TEXT(Orders[[#This Row],[Order_Date]],"mmmm")</f>
        <v>May</v>
      </c>
      <c r="I695">
        <f>YEAR(Orders[[#This Row],[Order_Date]])</f>
        <v>2024</v>
      </c>
      <c r="J695" t="str">
        <f>"Q"&amp;ROUNDUP(MONTH(Orders[[#This Row],[Order_Date]])/3,0)</f>
        <v>Q2</v>
      </c>
      <c r="K695" s="2">
        <f>(Orders[[#This Row],[Profit]]/Orders[[#This Row],[Sales]])*100</f>
        <v>11.89979035639413</v>
      </c>
    </row>
    <row r="696" spans="1:11" x14ac:dyDescent="0.3">
      <c r="A696" t="s">
        <v>940</v>
      </c>
      <c r="B696" s="1">
        <v>45543</v>
      </c>
      <c r="C696" t="s">
        <v>116</v>
      </c>
      <c r="D696" t="s">
        <v>253</v>
      </c>
      <c r="E696">
        <v>3</v>
      </c>
      <c r="F696">
        <v>18075</v>
      </c>
      <c r="G696">
        <v>4123.2700000000004</v>
      </c>
      <c r="H696" t="str">
        <f>TEXT(Orders[[#This Row],[Order_Date]],"mmmm")</f>
        <v>September</v>
      </c>
      <c r="I696">
        <f>YEAR(Orders[[#This Row],[Order_Date]])</f>
        <v>2024</v>
      </c>
      <c r="J696" t="str">
        <f>"Q"&amp;ROUNDUP(MONTH(Orders[[#This Row],[Order_Date]])/3,0)</f>
        <v>Q3</v>
      </c>
      <c r="K696" s="2">
        <f>(Orders[[#This Row],[Profit]]/Orders[[#This Row],[Sales]])*100</f>
        <v>22.812005532503459</v>
      </c>
    </row>
    <row r="697" spans="1:11" x14ac:dyDescent="0.3">
      <c r="A697" t="s">
        <v>941</v>
      </c>
      <c r="B697" s="1">
        <v>45539</v>
      </c>
      <c r="C697" t="s">
        <v>216</v>
      </c>
      <c r="D697" t="s">
        <v>255</v>
      </c>
      <c r="E697">
        <v>2</v>
      </c>
      <c r="F697">
        <v>51216</v>
      </c>
      <c r="G697">
        <v>7821.36</v>
      </c>
      <c r="H697" t="str">
        <f>TEXT(Orders[[#This Row],[Order_Date]],"mmmm")</f>
        <v>September</v>
      </c>
      <c r="I697">
        <f>YEAR(Orders[[#This Row],[Order_Date]])</f>
        <v>2024</v>
      </c>
      <c r="J697" t="str">
        <f>"Q"&amp;ROUNDUP(MONTH(Orders[[#This Row],[Order_Date]])/3,0)</f>
        <v>Q3</v>
      </c>
      <c r="K697" s="2">
        <f>(Orders[[#This Row],[Profit]]/Orders[[#This Row],[Sales]])*100</f>
        <v>15.271321462043112</v>
      </c>
    </row>
    <row r="698" spans="1:11" x14ac:dyDescent="0.3">
      <c r="A698" t="s">
        <v>942</v>
      </c>
      <c r="B698" s="1">
        <v>45347</v>
      </c>
      <c r="C698" t="s">
        <v>41</v>
      </c>
      <c r="D698" t="s">
        <v>255</v>
      </c>
      <c r="E698">
        <v>3</v>
      </c>
      <c r="F698">
        <v>76824</v>
      </c>
      <c r="G698">
        <v>7451.32</v>
      </c>
      <c r="H698" t="str">
        <f>TEXT(Orders[[#This Row],[Order_Date]],"mmmm")</f>
        <v>February</v>
      </c>
      <c r="I698">
        <f>YEAR(Orders[[#This Row],[Order_Date]])</f>
        <v>2024</v>
      </c>
      <c r="J698" t="str">
        <f>"Q"&amp;ROUNDUP(MONTH(Orders[[#This Row],[Order_Date]])/3,0)</f>
        <v>Q1</v>
      </c>
      <c r="K698" s="2">
        <f>(Orders[[#This Row],[Profit]]/Orders[[#This Row],[Sales]])*100</f>
        <v>9.6992085806518791</v>
      </c>
    </row>
    <row r="699" spans="1:11" x14ac:dyDescent="0.3">
      <c r="A699" t="s">
        <v>943</v>
      </c>
      <c r="B699" s="1">
        <v>45517</v>
      </c>
      <c r="C699" t="s">
        <v>128</v>
      </c>
      <c r="D699" t="s">
        <v>229</v>
      </c>
      <c r="E699">
        <v>2</v>
      </c>
      <c r="F699">
        <v>17746</v>
      </c>
      <c r="G699">
        <v>1765.79</v>
      </c>
      <c r="H699" t="str">
        <f>TEXT(Orders[[#This Row],[Order_Date]],"mmmm")</f>
        <v>August</v>
      </c>
      <c r="I699">
        <f>YEAR(Orders[[#This Row],[Order_Date]])</f>
        <v>2024</v>
      </c>
      <c r="J699" t="str">
        <f>"Q"&amp;ROUNDUP(MONTH(Orders[[#This Row],[Order_Date]])/3,0)</f>
        <v>Q3</v>
      </c>
      <c r="K699" s="2">
        <f>(Orders[[#This Row],[Profit]]/Orders[[#This Row],[Sales]])*100</f>
        <v>9.9503550095796225</v>
      </c>
    </row>
    <row r="700" spans="1:11" x14ac:dyDescent="0.3">
      <c r="A700" t="s">
        <v>944</v>
      </c>
      <c r="B700" s="1">
        <v>45479</v>
      </c>
      <c r="C700" t="s">
        <v>152</v>
      </c>
      <c r="D700" t="s">
        <v>263</v>
      </c>
      <c r="E700">
        <v>2</v>
      </c>
      <c r="F700">
        <v>14310</v>
      </c>
      <c r="G700">
        <v>1668.81</v>
      </c>
      <c r="H700" t="str">
        <f>TEXT(Orders[[#This Row],[Order_Date]],"mmmm")</f>
        <v>July</v>
      </c>
      <c r="I700">
        <f>YEAR(Orders[[#This Row],[Order_Date]])</f>
        <v>2024</v>
      </c>
      <c r="J700" t="str">
        <f>"Q"&amp;ROUNDUP(MONTH(Orders[[#This Row],[Order_Date]])/3,0)</f>
        <v>Q3</v>
      </c>
      <c r="K700" s="2">
        <f>(Orders[[#This Row],[Profit]]/Orders[[#This Row],[Sales]])*100</f>
        <v>11.661844863731655</v>
      </c>
    </row>
    <row r="701" spans="1:11" x14ac:dyDescent="0.3">
      <c r="A701" t="s">
        <v>945</v>
      </c>
      <c r="B701" s="1">
        <v>45582</v>
      </c>
      <c r="C701" t="s">
        <v>200</v>
      </c>
      <c r="D701" t="s">
        <v>233</v>
      </c>
      <c r="E701">
        <v>3</v>
      </c>
      <c r="F701">
        <v>167085</v>
      </c>
      <c r="G701">
        <v>34583.230000000003</v>
      </c>
      <c r="H701" t="str">
        <f>TEXT(Orders[[#This Row],[Order_Date]],"mmmm")</f>
        <v>October</v>
      </c>
      <c r="I701">
        <f>YEAR(Orders[[#This Row],[Order_Date]])</f>
        <v>2024</v>
      </c>
      <c r="J701" t="str">
        <f>"Q"&amp;ROUNDUP(MONTH(Orders[[#This Row],[Order_Date]])/3,0)</f>
        <v>Q4</v>
      </c>
      <c r="K701" s="2">
        <f>(Orders[[#This Row],[Profit]]/Orders[[#This Row],[Sales]])*100</f>
        <v>20.697986055001945</v>
      </c>
    </row>
    <row r="702" spans="1:11" x14ac:dyDescent="0.3">
      <c r="A702" t="s">
        <v>946</v>
      </c>
      <c r="B702" s="1">
        <v>45538</v>
      </c>
      <c r="C702" t="s">
        <v>212</v>
      </c>
      <c r="D702" t="s">
        <v>260</v>
      </c>
      <c r="E702">
        <v>1</v>
      </c>
      <c r="F702">
        <v>55950</v>
      </c>
      <c r="G702">
        <v>6581.2</v>
      </c>
      <c r="H702" t="str">
        <f>TEXT(Orders[[#This Row],[Order_Date]],"mmmm")</f>
        <v>September</v>
      </c>
      <c r="I702">
        <f>YEAR(Orders[[#This Row],[Order_Date]])</f>
        <v>2024</v>
      </c>
      <c r="J702" t="str">
        <f>"Q"&amp;ROUNDUP(MONTH(Orders[[#This Row],[Order_Date]])/3,0)</f>
        <v>Q3</v>
      </c>
      <c r="K702" s="2">
        <f>(Orders[[#This Row],[Profit]]/Orders[[#This Row],[Sales]])*100</f>
        <v>11.762645218945487</v>
      </c>
    </row>
    <row r="703" spans="1:11" x14ac:dyDescent="0.3">
      <c r="A703" t="s">
        <v>947</v>
      </c>
      <c r="B703" s="1">
        <v>45300</v>
      </c>
      <c r="C703" t="s">
        <v>218</v>
      </c>
      <c r="D703" t="s">
        <v>235</v>
      </c>
      <c r="E703">
        <v>5</v>
      </c>
      <c r="F703">
        <v>56710</v>
      </c>
      <c r="G703">
        <v>4690.5200000000004</v>
      </c>
      <c r="H703" t="str">
        <f>TEXT(Orders[[#This Row],[Order_Date]],"mmmm")</f>
        <v>January</v>
      </c>
      <c r="I703">
        <f>YEAR(Orders[[#This Row],[Order_Date]])</f>
        <v>2024</v>
      </c>
      <c r="J703" t="str">
        <f>"Q"&amp;ROUNDUP(MONTH(Orders[[#This Row],[Order_Date]])/3,0)</f>
        <v>Q1</v>
      </c>
      <c r="K703" s="2">
        <f>(Orders[[#This Row],[Profit]]/Orders[[#This Row],[Sales]])*100</f>
        <v>8.2710633045318289</v>
      </c>
    </row>
    <row r="704" spans="1:11" x14ac:dyDescent="0.3">
      <c r="A704" t="s">
        <v>948</v>
      </c>
      <c r="B704" s="1">
        <v>45409</v>
      </c>
      <c r="C704" t="s">
        <v>64</v>
      </c>
      <c r="D704" t="s">
        <v>263</v>
      </c>
      <c r="E704">
        <v>3</v>
      </c>
      <c r="F704">
        <v>21465</v>
      </c>
      <c r="G704">
        <v>4062.64</v>
      </c>
      <c r="H704" t="str">
        <f>TEXT(Orders[[#This Row],[Order_Date]],"mmmm")</f>
        <v>April</v>
      </c>
      <c r="I704">
        <f>YEAR(Orders[[#This Row],[Order_Date]])</f>
        <v>2024</v>
      </c>
      <c r="J704" t="str">
        <f>"Q"&amp;ROUNDUP(MONTH(Orders[[#This Row],[Order_Date]])/3,0)</f>
        <v>Q2</v>
      </c>
      <c r="K704" s="2">
        <f>(Orders[[#This Row],[Profit]]/Orders[[#This Row],[Sales]])*100</f>
        <v>18.926811087817377</v>
      </c>
    </row>
    <row r="705" spans="1:11" x14ac:dyDescent="0.3">
      <c r="A705" t="s">
        <v>949</v>
      </c>
      <c r="B705" s="1">
        <v>45481</v>
      </c>
      <c r="C705" t="s">
        <v>37</v>
      </c>
      <c r="D705" t="s">
        <v>283</v>
      </c>
      <c r="E705">
        <v>3</v>
      </c>
      <c r="F705">
        <v>162561</v>
      </c>
      <c r="G705">
        <v>32023.35</v>
      </c>
      <c r="H705" t="str">
        <f>TEXT(Orders[[#This Row],[Order_Date]],"mmmm")</f>
        <v>July</v>
      </c>
      <c r="I705">
        <f>YEAR(Orders[[#This Row],[Order_Date]])</f>
        <v>2024</v>
      </c>
      <c r="J705" t="str">
        <f>"Q"&amp;ROUNDUP(MONTH(Orders[[#This Row],[Order_Date]])/3,0)</f>
        <v>Q3</v>
      </c>
      <c r="K705" s="2">
        <f>(Orders[[#This Row],[Profit]]/Orders[[#This Row],[Sales]])*100</f>
        <v>19.699282115636592</v>
      </c>
    </row>
    <row r="706" spans="1:11" x14ac:dyDescent="0.3">
      <c r="A706" t="s">
        <v>950</v>
      </c>
      <c r="B706" s="1">
        <v>45492</v>
      </c>
      <c r="C706" t="s">
        <v>212</v>
      </c>
      <c r="D706" t="s">
        <v>263</v>
      </c>
      <c r="E706">
        <v>1</v>
      </c>
      <c r="F706">
        <v>7155</v>
      </c>
      <c r="G706">
        <v>1742.8</v>
      </c>
      <c r="H706" t="str">
        <f>TEXT(Orders[[#This Row],[Order_Date]],"mmmm")</f>
        <v>July</v>
      </c>
      <c r="I706">
        <f>YEAR(Orders[[#This Row],[Order_Date]])</f>
        <v>2024</v>
      </c>
      <c r="J706" t="str">
        <f>"Q"&amp;ROUNDUP(MONTH(Orders[[#This Row],[Order_Date]])/3,0)</f>
        <v>Q3</v>
      </c>
      <c r="K706" s="2">
        <f>(Orders[[#This Row],[Profit]]/Orders[[#This Row],[Sales]])*100</f>
        <v>24.357791754018169</v>
      </c>
    </row>
    <row r="707" spans="1:11" x14ac:dyDescent="0.3">
      <c r="A707" t="s">
        <v>951</v>
      </c>
      <c r="B707" s="1">
        <v>45502</v>
      </c>
      <c r="C707" t="s">
        <v>106</v>
      </c>
      <c r="D707" t="s">
        <v>245</v>
      </c>
      <c r="E707">
        <v>3</v>
      </c>
      <c r="F707">
        <v>72708</v>
      </c>
      <c r="G707">
        <v>14274.47</v>
      </c>
      <c r="H707" t="str">
        <f>TEXT(Orders[[#This Row],[Order_Date]],"mmmm")</f>
        <v>July</v>
      </c>
      <c r="I707">
        <f>YEAR(Orders[[#This Row],[Order_Date]])</f>
        <v>2024</v>
      </c>
      <c r="J707" t="str">
        <f>"Q"&amp;ROUNDUP(MONTH(Orders[[#This Row],[Order_Date]])/3,0)</f>
        <v>Q3</v>
      </c>
      <c r="K707" s="2">
        <f>(Orders[[#This Row],[Profit]]/Orders[[#This Row],[Sales]])*100</f>
        <v>19.632598888705505</v>
      </c>
    </row>
    <row r="708" spans="1:11" x14ac:dyDescent="0.3">
      <c r="A708" t="s">
        <v>952</v>
      </c>
      <c r="B708" s="1">
        <v>45606</v>
      </c>
      <c r="C708" t="s">
        <v>106</v>
      </c>
      <c r="D708" t="s">
        <v>245</v>
      </c>
      <c r="E708">
        <v>3</v>
      </c>
      <c r="F708">
        <v>72708</v>
      </c>
      <c r="G708">
        <v>17500.169999999998</v>
      </c>
      <c r="H708" t="str">
        <f>TEXT(Orders[[#This Row],[Order_Date]],"mmmm")</f>
        <v>November</v>
      </c>
      <c r="I708">
        <f>YEAR(Orders[[#This Row],[Order_Date]])</f>
        <v>2024</v>
      </c>
      <c r="J708" t="str">
        <f>"Q"&amp;ROUNDUP(MONTH(Orders[[#This Row],[Order_Date]])/3,0)</f>
        <v>Q4</v>
      </c>
      <c r="K708" s="2">
        <f>(Orders[[#This Row],[Profit]]/Orders[[#This Row],[Sales]])*100</f>
        <v>24.069112064697144</v>
      </c>
    </row>
    <row r="709" spans="1:11" x14ac:dyDescent="0.3">
      <c r="A709" t="s">
        <v>953</v>
      </c>
      <c r="B709" s="1">
        <v>45515</v>
      </c>
      <c r="C709" t="s">
        <v>90</v>
      </c>
      <c r="D709" t="s">
        <v>253</v>
      </c>
      <c r="E709">
        <v>5</v>
      </c>
      <c r="F709">
        <v>30125</v>
      </c>
      <c r="G709">
        <v>2794.28</v>
      </c>
      <c r="H709" t="str">
        <f>TEXT(Orders[[#This Row],[Order_Date]],"mmmm")</f>
        <v>August</v>
      </c>
      <c r="I709">
        <f>YEAR(Orders[[#This Row],[Order_Date]])</f>
        <v>2024</v>
      </c>
      <c r="J709" t="str">
        <f>"Q"&amp;ROUNDUP(MONTH(Orders[[#This Row],[Order_Date]])/3,0)</f>
        <v>Q3</v>
      </c>
      <c r="K709" s="2">
        <f>(Orders[[#This Row],[Profit]]/Orders[[#This Row],[Sales]])*100</f>
        <v>9.2756182572614119</v>
      </c>
    </row>
    <row r="710" spans="1:11" x14ac:dyDescent="0.3">
      <c r="A710" t="s">
        <v>954</v>
      </c>
      <c r="B710" s="1">
        <v>45436</v>
      </c>
      <c r="C710" t="s">
        <v>76</v>
      </c>
      <c r="D710" t="s">
        <v>235</v>
      </c>
      <c r="E710">
        <v>4</v>
      </c>
      <c r="F710">
        <v>45368</v>
      </c>
      <c r="G710">
        <v>10423.23</v>
      </c>
      <c r="H710" t="str">
        <f>TEXT(Orders[[#This Row],[Order_Date]],"mmmm")</f>
        <v>May</v>
      </c>
      <c r="I710">
        <f>YEAR(Orders[[#This Row],[Order_Date]])</f>
        <v>2024</v>
      </c>
      <c r="J710" t="str">
        <f>"Q"&amp;ROUNDUP(MONTH(Orders[[#This Row],[Order_Date]])/3,0)</f>
        <v>Q2</v>
      </c>
      <c r="K710" s="2">
        <f>(Orders[[#This Row],[Profit]]/Orders[[#This Row],[Sales]])*100</f>
        <v>22.974850114618231</v>
      </c>
    </row>
    <row r="711" spans="1:11" x14ac:dyDescent="0.3">
      <c r="A711" t="s">
        <v>955</v>
      </c>
      <c r="B711" s="1">
        <v>45319</v>
      </c>
      <c r="C711" t="s">
        <v>202</v>
      </c>
      <c r="D711" t="s">
        <v>344</v>
      </c>
      <c r="E711">
        <v>1</v>
      </c>
      <c r="F711">
        <v>9101</v>
      </c>
      <c r="G711">
        <v>1648.2</v>
      </c>
      <c r="H711" t="str">
        <f>TEXT(Orders[[#This Row],[Order_Date]],"mmmm")</f>
        <v>January</v>
      </c>
      <c r="I711">
        <f>YEAR(Orders[[#This Row],[Order_Date]])</f>
        <v>2024</v>
      </c>
      <c r="J711" t="str">
        <f>"Q"&amp;ROUNDUP(MONTH(Orders[[#This Row],[Order_Date]])/3,0)</f>
        <v>Q1</v>
      </c>
      <c r="K711" s="2">
        <f>(Orders[[#This Row],[Profit]]/Orders[[#This Row],[Sales]])*100</f>
        <v>18.110097791451491</v>
      </c>
    </row>
    <row r="712" spans="1:11" x14ac:dyDescent="0.3">
      <c r="A712" t="s">
        <v>956</v>
      </c>
      <c r="B712" s="1">
        <v>45566</v>
      </c>
      <c r="C712" t="s">
        <v>62</v>
      </c>
      <c r="D712" t="s">
        <v>235</v>
      </c>
      <c r="E712">
        <v>2</v>
      </c>
      <c r="F712">
        <v>22684</v>
      </c>
      <c r="G712">
        <v>4795.7</v>
      </c>
      <c r="H712" t="str">
        <f>TEXT(Orders[[#This Row],[Order_Date]],"mmmm")</f>
        <v>October</v>
      </c>
      <c r="I712">
        <f>YEAR(Orders[[#This Row],[Order_Date]])</f>
        <v>2024</v>
      </c>
      <c r="J712" t="str">
        <f>"Q"&amp;ROUNDUP(MONTH(Orders[[#This Row],[Order_Date]])/3,0)</f>
        <v>Q4</v>
      </c>
      <c r="K712" s="2">
        <f>(Orders[[#This Row],[Profit]]/Orders[[#This Row],[Sales]])*100</f>
        <v>21.141333098219008</v>
      </c>
    </row>
    <row r="713" spans="1:11" x14ac:dyDescent="0.3">
      <c r="A713" t="s">
        <v>957</v>
      </c>
      <c r="B713" s="1">
        <v>45294</v>
      </c>
      <c r="C713" t="s">
        <v>132</v>
      </c>
      <c r="D713" t="s">
        <v>279</v>
      </c>
      <c r="E713">
        <v>4</v>
      </c>
      <c r="F713">
        <v>24880</v>
      </c>
      <c r="G713">
        <v>3675.79</v>
      </c>
      <c r="H713" t="str">
        <f>TEXT(Orders[[#This Row],[Order_Date]],"mmmm")</f>
        <v>January</v>
      </c>
      <c r="I713">
        <f>YEAR(Orders[[#This Row],[Order_Date]])</f>
        <v>2024</v>
      </c>
      <c r="J713" t="str">
        <f>"Q"&amp;ROUNDUP(MONTH(Orders[[#This Row],[Order_Date]])/3,0)</f>
        <v>Q1</v>
      </c>
      <c r="K713" s="2">
        <f>(Orders[[#This Row],[Profit]]/Orders[[#This Row],[Sales]])*100</f>
        <v>14.774075562700965</v>
      </c>
    </row>
    <row r="714" spans="1:11" x14ac:dyDescent="0.3">
      <c r="A714" t="s">
        <v>958</v>
      </c>
      <c r="B714" s="1">
        <v>45398</v>
      </c>
      <c r="C714" t="s">
        <v>33</v>
      </c>
      <c r="D714" t="s">
        <v>229</v>
      </c>
      <c r="E714">
        <v>2</v>
      </c>
      <c r="F714">
        <v>17746</v>
      </c>
      <c r="G714">
        <v>3624.87</v>
      </c>
      <c r="H714" t="str">
        <f>TEXT(Orders[[#This Row],[Order_Date]],"mmmm")</f>
        <v>April</v>
      </c>
      <c r="I714">
        <f>YEAR(Orders[[#This Row],[Order_Date]])</f>
        <v>2024</v>
      </c>
      <c r="J714" t="str">
        <f>"Q"&amp;ROUNDUP(MONTH(Orders[[#This Row],[Order_Date]])/3,0)</f>
        <v>Q2</v>
      </c>
      <c r="K714" s="2">
        <f>(Orders[[#This Row],[Profit]]/Orders[[#This Row],[Sales]])*100</f>
        <v>20.426405950636763</v>
      </c>
    </row>
    <row r="715" spans="1:11" x14ac:dyDescent="0.3">
      <c r="A715" t="s">
        <v>959</v>
      </c>
      <c r="B715" s="1">
        <v>45622</v>
      </c>
      <c r="C715" t="s">
        <v>140</v>
      </c>
      <c r="D715" t="s">
        <v>229</v>
      </c>
      <c r="E715">
        <v>4</v>
      </c>
      <c r="F715">
        <v>35492</v>
      </c>
      <c r="G715">
        <v>3435.93</v>
      </c>
      <c r="H715" t="str">
        <f>TEXT(Orders[[#This Row],[Order_Date]],"mmmm")</f>
        <v>November</v>
      </c>
      <c r="I715">
        <f>YEAR(Orders[[#This Row],[Order_Date]])</f>
        <v>2024</v>
      </c>
      <c r="J715" t="str">
        <f>"Q"&amp;ROUNDUP(MONTH(Orders[[#This Row],[Order_Date]])/3,0)</f>
        <v>Q4</v>
      </c>
      <c r="K715" s="2">
        <f>(Orders[[#This Row],[Profit]]/Orders[[#This Row],[Sales]])*100</f>
        <v>9.6808576580637897</v>
      </c>
    </row>
    <row r="716" spans="1:11" x14ac:dyDescent="0.3">
      <c r="A716" t="s">
        <v>960</v>
      </c>
      <c r="B716" s="1">
        <v>45577</v>
      </c>
      <c r="C716" t="s">
        <v>62</v>
      </c>
      <c r="D716" t="s">
        <v>316</v>
      </c>
      <c r="E716">
        <v>2</v>
      </c>
      <c r="F716">
        <v>108768</v>
      </c>
      <c r="G716">
        <v>20833.53</v>
      </c>
      <c r="H716" t="str">
        <f>TEXT(Orders[[#This Row],[Order_Date]],"mmmm")</f>
        <v>October</v>
      </c>
      <c r="I716">
        <f>YEAR(Orders[[#This Row],[Order_Date]])</f>
        <v>2024</v>
      </c>
      <c r="J716" t="str">
        <f>"Q"&amp;ROUNDUP(MONTH(Orders[[#This Row],[Order_Date]])/3,0)</f>
        <v>Q4</v>
      </c>
      <c r="K716" s="2">
        <f>(Orders[[#This Row],[Profit]]/Orders[[#This Row],[Sales]])*100</f>
        <v>19.154098631950571</v>
      </c>
    </row>
    <row r="717" spans="1:11" x14ac:dyDescent="0.3">
      <c r="A717" t="s">
        <v>961</v>
      </c>
      <c r="B717" s="1">
        <v>45363</v>
      </c>
      <c r="C717" t="s">
        <v>218</v>
      </c>
      <c r="D717" t="s">
        <v>247</v>
      </c>
      <c r="E717">
        <v>3</v>
      </c>
      <c r="F717">
        <v>33468</v>
      </c>
      <c r="G717">
        <v>4344.49</v>
      </c>
      <c r="H717" t="str">
        <f>TEXT(Orders[[#This Row],[Order_Date]],"mmmm")</f>
        <v>March</v>
      </c>
      <c r="I717">
        <f>YEAR(Orders[[#This Row],[Order_Date]])</f>
        <v>2024</v>
      </c>
      <c r="J717" t="str">
        <f>"Q"&amp;ROUNDUP(MONTH(Orders[[#This Row],[Order_Date]])/3,0)</f>
        <v>Q1</v>
      </c>
      <c r="K717" s="2">
        <f>(Orders[[#This Row],[Profit]]/Orders[[#This Row],[Sales]])*100</f>
        <v>12.981026652324609</v>
      </c>
    </row>
    <row r="718" spans="1:11" x14ac:dyDescent="0.3">
      <c r="A718" t="s">
        <v>962</v>
      </c>
      <c r="B718" s="1">
        <v>45515</v>
      </c>
      <c r="C718" t="s">
        <v>84</v>
      </c>
      <c r="D718" t="s">
        <v>255</v>
      </c>
      <c r="E718">
        <v>3</v>
      </c>
      <c r="F718">
        <v>76824</v>
      </c>
      <c r="G718">
        <v>12362.35</v>
      </c>
      <c r="H718" t="str">
        <f>TEXT(Orders[[#This Row],[Order_Date]],"mmmm")</f>
        <v>August</v>
      </c>
      <c r="I718">
        <f>YEAR(Orders[[#This Row],[Order_Date]])</f>
        <v>2024</v>
      </c>
      <c r="J718" t="str">
        <f>"Q"&amp;ROUNDUP(MONTH(Orders[[#This Row],[Order_Date]])/3,0)</f>
        <v>Q3</v>
      </c>
      <c r="K718" s="2">
        <f>(Orders[[#This Row],[Profit]]/Orders[[#This Row],[Sales]])*100</f>
        <v>16.091781214203895</v>
      </c>
    </row>
    <row r="719" spans="1:11" x14ac:dyDescent="0.3">
      <c r="A719" t="s">
        <v>963</v>
      </c>
      <c r="B719" s="1">
        <v>45312</v>
      </c>
      <c r="C719" t="s">
        <v>104</v>
      </c>
      <c r="D719" t="s">
        <v>255</v>
      </c>
      <c r="E719">
        <v>3</v>
      </c>
      <c r="F719">
        <v>76824</v>
      </c>
      <c r="G719">
        <v>8900.2999999999993</v>
      </c>
      <c r="H719" t="str">
        <f>TEXT(Orders[[#This Row],[Order_Date]],"mmmm")</f>
        <v>January</v>
      </c>
      <c r="I719">
        <f>YEAR(Orders[[#This Row],[Order_Date]])</f>
        <v>2024</v>
      </c>
      <c r="J719" t="str">
        <f>"Q"&amp;ROUNDUP(MONTH(Orders[[#This Row],[Order_Date]])/3,0)</f>
        <v>Q1</v>
      </c>
      <c r="K719" s="2">
        <f>(Orders[[#This Row],[Profit]]/Orders[[#This Row],[Sales]])*100</f>
        <v>11.585311881703634</v>
      </c>
    </row>
    <row r="720" spans="1:11" x14ac:dyDescent="0.3">
      <c r="A720" t="s">
        <v>964</v>
      </c>
      <c r="B720" s="1">
        <v>45445</v>
      </c>
      <c r="C720" t="s">
        <v>98</v>
      </c>
      <c r="D720" t="s">
        <v>255</v>
      </c>
      <c r="E720">
        <v>5</v>
      </c>
      <c r="F720">
        <v>128040</v>
      </c>
      <c r="G720">
        <v>16656.37</v>
      </c>
      <c r="H720" t="str">
        <f>TEXT(Orders[[#This Row],[Order_Date]],"mmmm")</f>
        <v>June</v>
      </c>
      <c r="I720">
        <f>YEAR(Orders[[#This Row],[Order_Date]])</f>
        <v>2024</v>
      </c>
      <c r="J720" t="str">
        <f>"Q"&amp;ROUNDUP(MONTH(Orders[[#This Row],[Order_Date]])/3,0)</f>
        <v>Q2</v>
      </c>
      <c r="K720" s="2">
        <f>(Orders[[#This Row],[Profit]]/Orders[[#This Row],[Sales]])*100</f>
        <v>13.008723836301156</v>
      </c>
    </row>
    <row r="721" spans="1:11" x14ac:dyDescent="0.3">
      <c r="A721" t="s">
        <v>965</v>
      </c>
      <c r="B721" s="1">
        <v>45463</v>
      </c>
      <c r="C721" t="s">
        <v>86</v>
      </c>
      <c r="D721" t="s">
        <v>257</v>
      </c>
      <c r="E721">
        <v>3</v>
      </c>
      <c r="F721">
        <v>20241</v>
      </c>
      <c r="G721">
        <v>2524.69</v>
      </c>
      <c r="H721" t="str">
        <f>TEXT(Orders[[#This Row],[Order_Date]],"mmmm")</f>
        <v>June</v>
      </c>
      <c r="I721">
        <f>YEAR(Orders[[#This Row],[Order_Date]])</f>
        <v>2024</v>
      </c>
      <c r="J721" t="str">
        <f>"Q"&amp;ROUNDUP(MONTH(Orders[[#This Row],[Order_Date]])/3,0)</f>
        <v>Q2</v>
      </c>
      <c r="K721" s="2">
        <f>(Orders[[#This Row],[Profit]]/Orders[[#This Row],[Sales]])*100</f>
        <v>12.473148559853762</v>
      </c>
    </row>
    <row r="722" spans="1:11" x14ac:dyDescent="0.3">
      <c r="A722" t="s">
        <v>966</v>
      </c>
      <c r="B722" s="1">
        <v>45518</v>
      </c>
      <c r="C722" t="s">
        <v>58</v>
      </c>
      <c r="D722" t="s">
        <v>231</v>
      </c>
      <c r="E722">
        <v>4</v>
      </c>
      <c r="F722">
        <v>219748</v>
      </c>
      <c r="G722">
        <v>50512.29</v>
      </c>
      <c r="H722" t="str">
        <f>TEXT(Orders[[#This Row],[Order_Date]],"mmmm")</f>
        <v>August</v>
      </c>
      <c r="I722">
        <f>YEAR(Orders[[#This Row],[Order_Date]])</f>
        <v>2024</v>
      </c>
      <c r="J722" t="str">
        <f>"Q"&amp;ROUNDUP(MONTH(Orders[[#This Row],[Order_Date]])/3,0)</f>
        <v>Q3</v>
      </c>
      <c r="K722" s="2">
        <f>(Orders[[#This Row],[Profit]]/Orders[[#This Row],[Sales]])*100</f>
        <v>22.986461765294795</v>
      </c>
    </row>
    <row r="723" spans="1:11" x14ac:dyDescent="0.3">
      <c r="A723" t="s">
        <v>967</v>
      </c>
      <c r="B723" s="1">
        <v>45488</v>
      </c>
      <c r="C723" t="s">
        <v>188</v>
      </c>
      <c r="D723" t="s">
        <v>316</v>
      </c>
      <c r="E723">
        <v>2</v>
      </c>
      <c r="F723">
        <v>108768</v>
      </c>
      <c r="G723">
        <v>25249.439999999999</v>
      </c>
      <c r="H723" t="str">
        <f>TEXT(Orders[[#This Row],[Order_Date]],"mmmm")</f>
        <v>July</v>
      </c>
      <c r="I723">
        <f>YEAR(Orders[[#This Row],[Order_Date]])</f>
        <v>2024</v>
      </c>
      <c r="J723" t="str">
        <f>"Q"&amp;ROUNDUP(MONTH(Orders[[#This Row],[Order_Date]])/3,0)</f>
        <v>Q3</v>
      </c>
      <c r="K723" s="2">
        <f>(Orders[[#This Row],[Profit]]/Orders[[#This Row],[Sales]])*100</f>
        <v>23.214033539276258</v>
      </c>
    </row>
    <row r="724" spans="1:11" x14ac:dyDescent="0.3">
      <c r="A724" t="s">
        <v>968</v>
      </c>
      <c r="B724" s="1">
        <v>45454</v>
      </c>
      <c r="C724" t="s">
        <v>27</v>
      </c>
      <c r="D724" t="s">
        <v>237</v>
      </c>
      <c r="E724">
        <v>5</v>
      </c>
      <c r="F724">
        <v>43130</v>
      </c>
      <c r="G724">
        <v>4958.97</v>
      </c>
      <c r="H724" t="str">
        <f>TEXT(Orders[[#This Row],[Order_Date]],"mmmm")</f>
        <v>June</v>
      </c>
      <c r="I724">
        <f>YEAR(Orders[[#This Row],[Order_Date]])</f>
        <v>2024</v>
      </c>
      <c r="J724" t="str">
        <f>"Q"&amp;ROUNDUP(MONTH(Orders[[#This Row],[Order_Date]])/3,0)</f>
        <v>Q2</v>
      </c>
      <c r="K724" s="2">
        <f>(Orders[[#This Row],[Profit]]/Orders[[#This Row],[Sales]])*100</f>
        <v>11.497727799675401</v>
      </c>
    </row>
    <row r="725" spans="1:11" x14ac:dyDescent="0.3">
      <c r="A725" t="s">
        <v>969</v>
      </c>
      <c r="B725" s="1">
        <v>45347</v>
      </c>
      <c r="C725" t="s">
        <v>29</v>
      </c>
      <c r="D725" t="s">
        <v>255</v>
      </c>
      <c r="E725">
        <v>3</v>
      </c>
      <c r="F725">
        <v>76824</v>
      </c>
      <c r="G725">
        <v>6670.34</v>
      </c>
      <c r="H725" t="str">
        <f>TEXT(Orders[[#This Row],[Order_Date]],"mmmm")</f>
        <v>February</v>
      </c>
      <c r="I725">
        <f>YEAR(Orders[[#This Row],[Order_Date]])</f>
        <v>2024</v>
      </c>
      <c r="J725" t="str">
        <f>"Q"&amp;ROUNDUP(MONTH(Orders[[#This Row],[Order_Date]])/3,0)</f>
        <v>Q1</v>
      </c>
      <c r="K725" s="2">
        <f>(Orders[[#This Row],[Profit]]/Orders[[#This Row],[Sales]])*100</f>
        <v>8.682625221285015</v>
      </c>
    </row>
    <row r="726" spans="1:11" x14ac:dyDescent="0.3">
      <c r="A726" t="s">
        <v>970</v>
      </c>
      <c r="B726" s="1">
        <v>45468</v>
      </c>
      <c r="C726" t="s">
        <v>178</v>
      </c>
      <c r="D726" t="s">
        <v>233</v>
      </c>
      <c r="E726">
        <v>2</v>
      </c>
      <c r="F726">
        <v>111390</v>
      </c>
      <c r="G726">
        <v>26359.31</v>
      </c>
      <c r="H726" t="str">
        <f>TEXT(Orders[[#This Row],[Order_Date]],"mmmm")</f>
        <v>June</v>
      </c>
      <c r="I726">
        <f>YEAR(Orders[[#This Row],[Order_Date]])</f>
        <v>2024</v>
      </c>
      <c r="J726" t="str">
        <f>"Q"&amp;ROUNDUP(MONTH(Orders[[#This Row],[Order_Date]])/3,0)</f>
        <v>Q2</v>
      </c>
      <c r="K726" s="2">
        <f>(Orders[[#This Row],[Profit]]/Orders[[#This Row],[Sales]])*100</f>
        <v>23.663982404165544</v>
      </c>
    </row>
    <row r="727" spans="1:11" x14ac:dyDescent="0.3">
      <c r="A727" t="s">
        <v>971</v>
      </c>
      <c r="B727" s="1">
        <v>45656</v>
      </c>
      <c r="C727" t="s">
        <v>80</v>
      </c>
      <c r="D727" t="s">
        <v>235</v>
      </c>
      <c r="E727">
        <v>3</v>
      </c>
      <c r="F727">
        <v>34026</v>
      </c>
      <c r="G727">
        <v>5724.9</v>
      </c>
      <c r="H727" t="str">
        <f>TEXT(Orders[[#This Row],[Order_Date]],"mmmm")</f>
        <v>December</v>
      </c>
      <c r="I727">
        <f>YEAR(Orders[[#This Row],[Order_Date]])</f>
        <v>2024</v>
      </c>
      <c r="J727" t="str">
        <f>"Q"&amp;ROUNDUP(MONTH(Orders[[#This Row],[Order_Date]])/3,0)</f>
        <v>Q4</v>
      </c>
      <c r="K727" s="2">
        <f>(Orders[[#This Row],[Profit]]/Orders[[#This Row],[Sales]])*100</f>
        <v>16.825074942690883</v>
      </c>
    </row>
    <row r="728" spans="1:11" x14ac:dyDescent="0.3">
      <c r="A728" t="s">
        <v>972</v>
      </c>
      <c r="B728" s="1">
        <v>45301</v>
      </c>
      <c r="C728" t="s">
        <v>80</v>
      </c>
      <c r="D728" t="s">
        <v>255</v>
      </c>
      <c r="E728">
        <v>1</v>
      </c>
      <c r="F728">
        <v>25608</v>
      </c>
      <c r="G728">
        <v>2190.88</v>
      </c>
      <c r="H728" t="str">
        <f>TEXT(Orders[[#This Row],[Order_Date]],"mmmm")</f>
        <v>January</v>
      </c>
      <c r="I728">
        <f>YEAR(Orders[[#This Row],[Order_Date]])</f>
        <v>2024</v>
      </c>
      <c r="J728" t="str">
        <f>"Q"&amp;ROUNDUP(MONTH(Orders[[#This Row],[Order_Date]])/3,0)</f>
        <v>Q1</v>
      </c>
      <c r="K728" s="2">
        <f>(Orders[[#This Row],[Profit]]/Orders[[#This Row],[Sales]])*100</f>
        <v>8.5554514214308028</v>
      </c>
    </row>
    <row r="729" spans="1:11" x14ac:dyDescent="0.3">
      <c r="A729" t="s">
        <v>973</v>
      </c>
      <c r="B729" s="1">
        <v>45435</v>
      </c>
      <c r="C729" t="s">
        <v>186</v>
      </c>
      <c r="D729" t="s">
        <v>266</v>
      </c>
      <c r="E729">
        <v>1</v>
      </c>
      <c r="F729">
        <v>11235</v>
      </c>
      <c r="G729">
        <v>1220.57</v>
      </c>
      <c r="H729" t="str">
        <f>TEXT(Orders[[#This Row],[Order_Date]],"mmmm")</f>
        <v>May</v>
      </c>
      <c r="I729">
        <f>YEAR(Orders[[#This Row],[Order_Date]])</f>
        <v>2024</v>
      </c>
      <c r="J729" t="str">
        <f>"Q"&amp;ROUNDUP(MONTH(Orders[[#This Row],[Order_Date]])/3,0)</f>
        <v>Q2</v>
      </c>
      <c r="K729" s="2">
        <f>(Orders[[#This Row],[Profit]]/Orders[[#This Row],[Sales]])*100</f>
        <v>10.863996439697374</v>
      </c>
    </row>
    <row r="730" spans="1:11" x14ac:dyDescent="0.3">
      <c r="A730" t="s">
        <v>974</v>
      </c>
      <c r="B730" s="1">
        <v>45511</v>
      </c>
      <c r="C730" t="s">
        <v>190</v>
      </c>
      <c r="D730" t="s">
        <v>235</v>
      </c>
      <c r="E730">
        <v>2</v>
      </c>
      <c r="F730">
        <v>22684</v>
      </c>
      <c r="G730">
        <v>5100.6400000000003</v>
      </c>
      <c r="H730" t="str">
        <f>TEXT(Orders[[#This Row],[Order_Date]],"mmmm")</f>
        <v>August</v>
      </c>
      <c r="I730">
        <f>YEAR(Orders[[#This Row],[Order_Date]])</f>
        <v>2024</v>
      </c>
      <c r="J730" t="str">
        <f>"Q"&amp;ROUNDUP(MONTH(Orders[[#This Row],[Order_Date]])/3,0)</f>
        <v>Q3</v>
      </c>
      <c r="K730" s="2">
        <f>(Orders[[#This Row],[Profit]]/Orders[[#This Row],[Sales]])*100</f>
        <v>22.485628636924705</v>
      </c>
    </row>
    <row r="731" spans="1:11" x14ac:dyDescent="0.3">
      <c r="A731" t="s">
        <v>975</v>
      </c>
      <c r="B731" s="1">
        <v>45491</v>
      </c>
      <c r="C731" t="s">
        <v>94</v>
      </c>
      <c r="D731" t="s">
        <v>257</v>
      </c>
      <c r="E731">
        <v>1</v>
      </c>
      <c r="F731">
        <v>6747</v>
      </c>
      <c r="G731">
        <v>584.37</v>
      </c>
      <c r="H731" t="str">
        <f>TEXT(Orders[[#This Row],[Order_Date]],"mmmm")</f>
        <v>July</v>
      </c>
      <c r="I731">
        <f>YEAR(Orders[[#This Row],[Order_Date]])</f>
        <v>2024</v>
      </c>
      <c r="J731" t="str">
        <f>"Q"&amp;ROUNDUP(MONTH(Orders[[#This Row],[Order_Date]])/3,0)</f>
        <v>Q3</v>
      </c>
      <c r="K731" s="2">
        <f>(Orders[[#This Row],[Profit]]/Orders[[#This Row],[Sales]])*100</f>
        <v>8.6611827478879508</v>
      </c>
    </row>
    <row r="732" spans="1:11" x14ac:dyDescent="0.3">
      <c r="A732" t="s">
        <v>976</v>
      </c>
      <c r="B732" s="1">
        <v>45317</v>
      </c>
      <c r="C732" t="s">
        <v>158</v>
      </c>
      <c r="D732" t="s">
        <v>239</v>
      </c>
      <c r="E732">
        <v>4</v>
      </c>
      <c r="F732">
        <v>100636</v>
      </c>
      <c r="G732">
        <v>12975.76</v>
      </c>
      <c r="H732" t="str">
        <f>TEXT(Orders[[#This Row],[Order_Date]],"mmmm")</f>
        <v>January</v>
      </c>
      <c r="I732">
        <f>YEAR(Orders[[#This Row],[Order_Date]])</f>
        <v>2024</v>
      </c>
      <c r="J732" t="str">
        <f>"Q"&amp;ROUNDUP(MONTH(Orders[[#This Row],[Order_Date]])/3,0)</f>
        <v>Q1</v>
      </c>
      <c r="K732" s="2">
        <f>(Orders[[#This Row],[Profit]]/Orders[[#This Row],[Sales]])*100</f>
        <v>12.893755713661115</v>
      </c>
    </row>
    <row r="733" spans="1:11" x14ac:dyDescent="0.3">
      <c r="A733" t="s">
        <v>977</v>
      </c>
      <c r="B733" s="1">
        <v>45541</v>
      </c>
      <c r="C733" t="s">
        <v>78</v>
      </c>
      <c r="D733" t="s">
        <v>233</v>
      </c>
      <c r="E733">
        <v>4</v>
      </c>
      <c r="F733">
        <v>222780</v>
      </c>
      <c r="G733">
        <v>40086.69</v>
      </c>
      <c r="H733" t="str">
        <f>TEXT(Orders[[#This Row],[Order_Date]],"mmmm")</f>
        <v>September</v>
      </c>
      <c r="I733">
        <f>YEAR(Orders[[#This Row],[Order_Date]])</f>
        <v>2024</v>
      </c>
      <c r="J733" t="str">
        <f>"Q"&amp;ROUNDUP(MONTH(Orders[[#This Row],[Order_Date]])/3,0)</f>
        <v>Q3</v>
      </c>
      <c r="K733" s="2">
        <f>(Orders[[#This Row],[Profit]]/Orders[[#This Row],[Sales]])*100</f>
        <v>17.993845946673851</v>
      </c>
    </row>
    <row r="734" spans="1:11" x14ac:dyDescent="0.3">
      <c r="A734" t="s">
        <v>978</v>
      </c>
      <c r="B734" s="1">
        <v>45337</v>
      </c>
      <c r="C734" t="s">
        <v>172</v>
      </c>
      <c r="D734" t="s">
        <v>263</v>
      </c>
      <c r="E734">
        <v>5</v>
      </c>
      <c r="F734">
        <v>35775</v>
      </c>
      <c r="G734">
        <v>5971.96</v>
      </c>
      <c r="H734" t="str">
        <f>TEXT(Orders[[#This Row],[Order_Date]],"mmmm")</f>
        <v>February</v>
      </c>
      <c r="I734">
        <f>YEAR(Orders[[#This Row],[Order_Date]])</f>
        <v>2024</v>
      </c>
      <c r="J734" t="str">
        <f>"Q"&amp;ROUNDUP(MONTH(Orders[[#This Row],[Order_Date]])/3,0)</f>
        <v>Q1</v>
      </c>
      <c r="K734" s="2">
        <f>(Orders[[#This Row],[Profit]]/Orders[[#This Row],[Sales]])*100</f>
        <v>16.693109713487072</v>
      </c>
    </row>
    <row r="735" spans="1:11" x14ac:dyDescent="0.3">
      <c r="A735" t="s">
        <v>979</v>
      </c>
      <c r="B735" s="1">
        <v>45412</v>
      </c>
      <c r="C735" t="s">
        <v>106</v>
      </c>
      <c r="D735" t="s">
        <v>229</v>
      </c>
      <c r="E735">
        <v>2</v>
      </c>
      <c r="F735">
        <v>17746</v>
      </c>
      <c r="G735">
        <v>3773.64</v>
      </c>
      <c r="H735" t="str">
        <f>TEXT(Orders[[#This Row],[Order_Date]],"mmmm")</f>
        <v>April</v>
      </c>
      <c r="I735">
        <f>YEAR(Orders[[#This Row],[Order_Date]])</f>
        <v>2024</v>
      </c>
      <c r="J735" t="str">
        <f>"Q"&amp;ROUNDUP(MONTH(Orders[[#This Row],[Order_Date]])/3,0)</f>
        <v>Q2</v>
      </c>
      <c r="K735" s="2">
        <f>(Orders[[#This Row],[Profit]]/Orders[[#This Row],[Sales]])*100</f>
        <v>21.264735715090723</v>
      </c>
    </row>
    <row r="736" spans="1:11" x14ac:dyDescent="0.3">
      <c r="A736" t="s">
        <v>980</v>
      </c>
      <c r="B736" s="1">
        <v>45506</v>
      </c>
      <c r="C736" t="s">
        <v>152</v>
      </c>
      <c r="D736" t="s">
        <v>316</v>
      </c>
      <c r="E736">
        <v>1</v>
      </c>
      <c r="F736">
        <v>54384</v>
      </c>
      <c r="G736">
        <v>11769.6</v>
      </c>
      <c r="H736" t="str">
        <f>TEXT(Orders[[#This Row],[Order_Date]],"mmmm")</f>
        <v>August</v>
      </c>
      <c r="I736">
        <f>YEAR(Orders[[#This Row],[Order_Date]])</f>
        <v>2024</v>
      </c>
      <c r="J736" t="str">
        <f>"Q"&amp;ROUNDUP(MONTH(Orders[[#This Row],[Order_Date]])/3,0)</f>
        <v>Q3</v>
      </c>
      <c r="K736" s="2">
        <f>(Orders[[#This Row],[Profit]]/Orders[[#This Row],[Sales]])*100</f>
        <v>21.641659311562226</v>
      </c>
    </row>
    <row r="737" spans="1:11" x14ac:dyDescent="0.3">
      <c r="A737" t="s">
        <v>981</v>
      </c>
      <c r="B737" s="1">
        <v>45292</v>
      </c>
      <c r="C737" t="s">
        <v>192</v>
      </c>
      <c r="D737" t="s">
        <v>229</v>
      </c>
      <c r="E737">
        <v>2</v>
      </c>
      <c r="F737">
        <v>17746</v>
      </c>
      <c r="G737">
        <v>2190.92</v>
      </c>
      <c r="H737" t="str">
        <f>TEXT(Orders[[#This Row],[Order_Date]],"mmmm")</f>
        <v>January</v>
      </c>
      <c r="I737">
        <f>YEAR(Orders[[#This Row],[Order_Date]])</f>
        <v>2024</v>
      </c>
      <c r="J737" t="str">
        <f>"Q"&amp;ROUNDUP(MONTH(Orders[[#This Row],[Order_Date]])/3,0)</f>
        <v>Q1</v>
      </c>
      <c r="K737" s="2">
        <f>(Orders[[#This Row],[Profit]]/Orders[[#This Row],[Sales]])*100</f>
        <v>12.345993463315677</v>
      </c>
    </row>
    <row r="738" spans="1:11" x14ac:dyDescent="0.3">
      <c r="A738" t="s">
        <v>982</v>
      </c>
      <c r="B738" s="1">
        <v>45384</v>
      </c>
      <c r="C738" t="s">
        <v>92</v>
      </c>
      <c r="D738" t="s">
        <v>247</v>
      </c>
      <c r="E738">
        <v>3</v>
      </c>
      <c r="F738">
        <v>33468</v>
      </c>
      <c r="G738">
        <v>7120.32</v>
      </c>
      <c r="H738" t="str">
        <f>TEXT(Orders[[#This Row],[Order_Date]],"mmmm")</f>
        <v>April</v>
      </c>
      <c r="I738">
        <f>YEAR(Orders[[#This Row],[Order_Date]])</f>
        <v>2024</v>
      </c>
      <c r="J738" t="str">
        <f>"Q"&amp;ROUNDUP(MONTH(Orders[[#This Row],[Order_Date]])/3,0)</f>
        <v>Q2</v>
      </c>
      <c r="K738" s="2">
        <f>(Orders[[#This Row],[Profit]]/Orders[[#This Row],[Sales]])*100</f>
        <v>21.275008963786302</v>
      </c>
    </row>
    <row r="739" spans="1:11" x14ac:dyDescent="0.3">
      <c r="A739" t="s">
        <v>983</v>
      </c>
      <c r="B739" s="1">
        <v>45448</v>
      </c>
      <c r="C739" t="s">
        <v>178</v>
      </c>
      <c r="D739" t="s">
        <v>231</v>
      </c>
      <c r="E739">
        <v>4</v>
      </c>
      <c r="F739">
        <v>219748</v>
      </c>
      <c r="G739">
        <v>43517.04</v>
      </c>
      <c r="H739" t="str">
        <f>TEXT(Orders[[#This Row],[Order_Date]],"mmmm")</f>
        <v>June</v>
      </c>
      <c r="I739">
        <f>YEAR(Orders[[#This Row],[Order_Date]])</f>
        <v>2024</v>
      </c>
      <c r="J739" t="str">
        <f>"Q"&amp;ROUNDUP(MONTH(Orders[[#This Row],[Order_Date]])/3,0)</f>
        <v>Q2</v>
      </c>
      <c r="K739" s="2">
        <f>(Orders[[#This Row],[Profit]]/Orders[[#This Row],[Sales]])*100</f>
        <v>19.803156342719845</v>
      </c>
    </row>
    <row r="740" spans="1:11" x14ac:dyDescent="0.3">
      <c r="A740" t="s">
        <v>984</v>
      </c>
      <c r="B740" s="1">
        <v>45422</v>
      </c>
      <c r="C740" t="s">
        <v>43</v>
      </c>
      <c r="D740" t="s">
        <v>279</v>
      </c>
      <c r="E740">
        <v>1</v>
      </c>
      <c r="F740">
        <v>6220</v>
      </c>
      <c r="G740">
        <v>1002.21</v>
      </c>
      <c r="H740" t="str">
        <f>TEXT(Orders[[#This Row],[Order_Date]],"mmmm")</f>
        <v>May</v>
      </c>
      <c r="I740">
        <f>YEAR(Orders[[#This Row],[Order_Date]])</f>
        <v>2024</v>
      </c>
      <c r="J740" t="str">
        <f>"Q"&amp;ROUNDUP(MONTH(Orders[[#This Row],[Order_Date]])/3,0)</f>
        <v>Q2</v>
      </c>
      <c r="K740" s="2">
        <f>(Orders[[#This Row],[Profit]]/Orders[[#This Row],[Sales]])*100</f>
        <v>16.112700964630225</v>
      </c>
    </row>
    <row r="741" spans="1:11" x14ac:dyDescent="0.3">
      <c r="A741" t="s">
        <v>985</v>
      </c>
      <c r="B741" s="1">
        <v>45496</v>
      </c>
      <c r="C741" t="s">
        <v>160</v>
      </c>
      <c r="D741" t="s">
        <v>263</v>
      </c>
      <c r="E741">
        <v>2</v>
      </c>
      <c r="F741">
        <v>14310</v>
      </c>
      <c r="G741">
        <v>1247.33</v>
      </c>
      <c r="H741" t="str">
        <f>TEXT(Orders[[#This Row],[Order_Date]],"mmmm")</f>
        <v>July</v>
      </c>
      <c r="I741">
        <f>YEAR(Orders[[#This Row],[Order_Date]])</f>
        <v>2024</v>
      </c>
      <c r="J741" t="str">
        <f>"Q"&amp;ROUNDUP(MONTH(Orders[[#This Row],[Order_Date]])/3,0)</f>
        <v>Q3</v>
      </c>
      <c r="K741" s="2">
        <f>(Orders[[#This Row],[Profit]]/Orders[[#This Row],[Sales]])*100</f>
        <v>8.7164919636617739</v>
      </c>
    </row>
    <row r="742" spans="1:11" x14ac:dyDescent="0.3">
      <c r="A742" t="s">
        <v>986</v>
      </c>
      <c r="B742" s="1">
        <v>45293</v>
      </c>
      <c r="C742" t="s">
        <v>160</v>
      </c>
      <c r="D742" t="s">
        <v>344</v>
      </c>
      <c r="E742">
        <v>5</v>
      </c>
      <c r="F742">
        <v>45505</v>
      </c>
      <c r="G742">
        <v>7533.67</v>
      </c>
      <c r="H742" t="str">
        <f>TEXT(Orders[[#This Row],[Order_Date]],"mmmm")</f>
        <v>January</v>
      </c>
      <c r="I742">
        <f>YEAR(Orders[[#This Row],[Order_Date]])</f>
        <v>2024</v>
      </c>
      <c r="J742" t="str">
        <f>"Q"&amp;ROUNDUP(MONTH(Orders[[#This Row],[Order_Date]])/3,0)</f>
        <v>Q1</v>
      </c>
      <c r="K742" s="2">
        <f>(Orders[[#This Row],[Profit]]/Orders[[#This Row],[Sales]])*100</f>
        <v>16.55569717613449</v>
      </c>
    </row>
    <row r="743" spans="1:11" x14ac:dyDescent="0.3">
      <c r="A743" t="s">
        <v>987</v>
      </c>
      <c r="B743" s="1">
        <v>45374</v>
      </c>
      <c r="C743" t="s">
        <v>206</v>
      </c>
      <c r="D743" t="s">
        <v>229</v>
      </c>
      <c r="E743">
        <v>3</v>
      </c>
      <c r="F743">
        <v>26619</v>
      </c>
      <c r="G743">
        <v>2567.6</v>
      </c>
      <c r="H743" t="str">
        <f>TEXT(Orders[[#This Row],[Order_Date]],"mmmm")</f>
        <v>March</v>
      </c>
      <c r="I743">
        <f>YEAR(Orders[[#This Row],[Order_Date]])</f>
        <v>2024</v>
      </c>
      <c r="J743" t="str">
        <f>"Q"&amp;ROUNDUP(MONTH(Orders[[#This Row],[Order_Date]])/3,0)</f>
        <v>Q1</v>
      </c>
      <c r="K743" s="2">
        <f>(Orders[[#This Row],[Profit]]/Orders[[#This Row],[Sales]])*100</f>
        <v>9.6457417634020803</v>
      </c>
    </row>
    <row r="744" spans="1:11" x14ac:dyDescent="0.3">
      <c r="A744" t="s">
        <v>988</v>
      </c>
      <c r="B744" s="1">
        <v>45651</v>
      </c>
      <c r="C744" t="s">
        <v>172</v>
      </c>
      <c r="D744" t="s">
        <v>263</v>
      </c>
      <c r="E744">
        <v>1</v>
      </c>
      <c r="F744">
        <v>7155</v>
      </c>
      <c r="G744">
        <v>785.05</v>
      </c>
      <c r="H744" t="str">
        <f>TEXT(Orders[[#This Row],[Order_Date]],"mmmm")</f>
        <v>December</v>
      </c>
      <c r="I744">
        <f>YEAR(Orders[[#This Row],[Order_Date]])</f>
        <v>2024</v>
      </c>
      <c r="J744" t="str">
        <f>"Q"&amp;ROUNDUP(MONTH(Orders[[#This Row],[Order_Date]])/3,0)</f>
        <v>Q4</v>
      </c>
      <c r="K744" s="2">
        <f>(Orders[[#This Row],[Profit]]/Orders[[#This Row],[Sales]])*100</f>
        <v>10.97204751921733</v>
      </c>
    </row>
    <row r="745" spans="1:11" x14ac:dyDescent="0.3">
      <c r="A745" t="s">
        <v>989</v>
      </c>
      <c r="B745" s="1">
        <v>45303</v>
      </c>
      <c r="C745" t="s">
        <v>194</v>
      </c>
      <c r="D745" t="s">
        <v>245</v>
      </c>
      <c r="E745">
        <v>4</v>
      </c>
      <c r="F745">
        <v>96944</v>
      </c>
      <c r="G745">
        <v>16502.97</v>
      </c>
      <c r="H745" t="str">
        <f>TEXT(Orders[[#This Row],[Order_Date]],"mmmm")</f>
        <v>January</v>
      </c>
      <c r="I745">
        <f>YEAR(Orders[[#This Row],[Order_Date]])</f>
        <v>2024</v>
      </c>
      <c r="J745" t="str">
        <f>"Q"&amp;ROUNDUP(MONTH(Orders[[#This Row],[Order_Date]])/3,0)</f>
        <v>Q1</v>
      </c>
      <c r="K745" s="2">
        <f>(Orders[[#This Row],[Profit]]/Orders[[#This Row],[Sales]])*100</f>
        <v>17.023198960224462</v>
      </c>
    </row>
    <row r="746" spans="1:11" x14ac:dyDescent="0.3">
      <c r="A746" t="s">
        <v>990</v>
      </c>
      <c r="B746" s="1">
        <v>45562</v>
      </c>
      <c r="C746" t="s">
        <v>76</v>
      </c>
      <c r="D746" t="s">
        <v>229</v>
      </c>
      <c r="E746">
        <v>1</v>
      </c>
      <c r="F746">
        <v>8873</v>
      </c>
      <c r="G746">
        <v>1723.06</v>
      </c>
      <c r="H746" t="str">
        <f>TEXT(Orders[[#This Row],[Order_Date]],"mmmm")</f>
        <v>September</v>
      </c>
      <c r="I746">
        <f>YEAR(Orders[[#This Row],[Order_Date]])</f>
        <v>2024</v>
      </c>
      <c r="J746" t="str">
        <f>"Q"&amp;ROUNDUP(MONTH(Orders[[#This Row],[Order_Date]])/3,0)</f>
        <v>Q3</v>
      </c>
      <c r="K746" s="2">
        <f>(Orders[[#This Row],[Profit]]/Orders[[#This Row],[Sales]])*100</f>
        <v>19.419136706863519</v>
      </c>
    </row>
    <row r="747" spans="1:11" x14ac:dyDescent="0.3">
      <c r="A747" t="s">
        <v>991</v>
      </c>
      <c r="B747" s="1">
        <v>45494</v>
      </c>
      <c r="C747" t="s">
        <v>126</v>
      </c>
      <c r="D747" t="s">
        <v>235</v>
      </c>
      <c r="E747">
        <v>2</v>
      </c>
      <c r="F747">
        <v>22684</v>
      </c>
      <c r="G747">
        <v>2020.57</v>
      </c>
      <c r="H747" t="str">
        <f>TEXT(Orders[[#This Row],[Order_Date]],"mmmm")</f>
        <v>July</v>
      </c>
      <c r="I747">
        <f>YEAR(Orders[[#This Row],[Order_Date]])</f>
        <v>2024</v>
      </c>
      <c r="J747" t="str">
        <f>"Q"&amp;ROUNDUP(MONTH(Orders[[#This Row],[Order_Date]])/3,0)</f>
        <v>Q3</v>
      </c>
      <c r="K747" s="2">
        <f>(Orders[[#This Row],[Profit]]/Orders[[#This Row],[Sales]])*100</f>
        <v>8.9074678187268557</v>
      </c>
    </row>
    <row r="748" spans="1:11" x14ac:dyDescent="0.3">
      <c r="A748" t="s">
        <v>992</v>
      </c>
      <c r="B748" s="1">
        <v>45338</v>
      </c>
      <c r="C748" t="s">
        <v>186</v>
      </c>
      <c r="D748" t="s">
        <v>283</v>
      </c>
      <c r="E748">
        <v>2</v>
      </c>
      <c r="F748">
        <v>108374</v>
      </c>
      <c r="G748">
        <v>11602.58</v>
      </c>
      <c r="H748" t="str">
        <f>TEXT(Orders[[#This Row],[Order_Date]],"mmmm")</f>
        <v>February</v>
      </c>
      <c r="I748">
        <f>YEAR(Orders[[#This Row],[Order_Date]])</f>
        <v>2024</v>
      </c>
      <c r="J748" t="str">
        <f>"Q"&amp;ROUNDUP(MONTH(Orders[[#This Row],[Order_Date]])/3,0)</f>
        <v>Q1</v>
      </c>
      <c r="K748" s="2">
        <f>(Orders[[#This Row],[Profit]]/Orders[[#This Row],[Sales]])*100</f>
        <v>10.706054957831213</v>
      </c>
    </row>
    <row r="749" spans="1:11" x14ac:dyDescent="0.3">
      <c r="A749" t="s">
        <v>993</v>
      </c>
      <c r="B749" s="1">
        <v>45632</v>
      </c>
      <c r="C749" t="s">
        <v>176</v>
      </c>
      <c r="D749" t="s">
        <v>266</v>
      </c>
      <c r="E749">
        <v>5</v>
      </c>
      <c r="F749">
        <v>56175</v>
      </c>
      <c r="G749">
        <v>9692.9699999999993</v>
      </c>
      <c r="H749" t="str">
        <f>TEXT(Orders[[#This Row],[Order_Date]],"mmmm")</f>
        <v>December</v>
      </c>
      <c r="I749">
        <f>YEAR(Orders[[#This Row],[Order_Date]])</f>
        <v>2024</v>
      </c>
      <c r="J749" t="str">
        <f>"Q"&amp;ROUNDUP(MONTH(Orders[[#This Row],[Order_Date]])/3,0)</f>
        <v>Q4</v>
      </c>
      <c r="K749" s="2">
        <f>(Orders[[#This Row],[Profit]]/Orders[[#This Row],[Sales]])*100</f>
        <v>17.254953271028036</v>
      </c>
    </row>
    <row r="750" spans="1:11" x14ac:dyDescent="0.3">
      <c r="A750" t="s">
        <v>994</v>
      </c>
      <c r="B750" s="1">
        <v>45422</v>
      </c>
      <c r="C750" t="s">
        <v>190</v>
      </c>
      <c r="D750" t="s">
        <v>231</v>
      </c>
      <c r="E750">
        <v>2</v>
      </c>
      <c r="F750">
        <v>109874</v>
      </c>
      <c r="G750">
        <v>18259.91</v>
      </c>
      <c r="H750" t="str">
        <f>TEXT(Orders[[#This Row],[Order_Date]],"mmmm")</f>
        <v>May</v>
      </c>
      <c r="I750">
        <f>YEAR(Orders[[#This Row],[Order_Date]])</f>
        <v>2024</v>
      </c>
      <c r="J750" t="str">
        <f>"Q"&amp;ROUNDUP(MONTH(Orders[[#This Row],[Order_Date]])/3,0)</f>
        <v>Q2</v>
      </c>
      <c r="K750" s="2">
        <f>(Orders[[#This Row],[Profit]]/Orders[[#This Row],[Sales]])*100</f>
        <v>16.618954438720714</v>
      </c>
    </row>
    <row r="751" spans="1:11" x14ac:dyDescent="0.3">
      <c r="A751" t="s">
        <v>995</v>
      </c>
      <c r="B751" s="1">
        <v>45656</v>
      </c>
      <c r="C751" t="s">
        <v>118</v>
      </c>
      <c r="D751" t="s">
        <v>227</v>
      </c>
      <c r="E751">
        <v>3</v>
      </c>
      <c r="F751">
        <v>28182</v>
      </c>
      <c r="G751">
        <v>5222.3999999999996</v>
      </c>
      <c r="H751" t="str">
        <f>TEXT(Orders[[#This Row],[Order_Date]],"mmmm")</f>
        <v>December</v>
      </c>
      <c r="I751">
        <f>YEAR(Orders[[#This Row],[Order_Date]])</f>
        <v>2024</v>
      </c>
      <c r="J751" t="str">
        <f>"Q"&amp;ROUNDUP(MONTH(Orders[[#This Row],[Order_Date]])/3,0)</f>
        <v>Q4</v>
      </c>
      <c r="K751" s="2">
        <f>(Orders[[#This Row],[Profit]]/Orders[[#This Row],[Sales]])*100</f>
        <v>18.530977219501811</v>
      </c>
    </row>
    <row r="752" spans="1:11" x14ac:dyDescent="0.3">
      <c r="A752" t="s">
        <v>996</v>
      </c>
      <c r="B752" s="1">
        <v>45433</v>
      </c>
      <c r="C752" t="s">
        <v>56</v>
      </c>
      <c r="D752" t="s">
        <v>231</v>
      </c>
      <c r="E752">
        <v>3</v>
      </c>
      <c r="F752">
        <v>164811</v>
      </c>
      <c r="G752">
        <v>29390.21</v>
      </c>
      <c r="H752" t="str">
        <f>TEXT(Orders[[#This Row],[Order_Date]],"mmmm")</f>
        <v>May</v>
      </c>
      <c r="I752">
        <f>YEAR(Orders[[#This Row],[Order_Date]])</f>
        <v>2024</v>
      </c>
      <c r="J752" t="str">
        <f>"Q"&amp;ROUNDUP(MONTH(Orders[[#This Row],[Order_Date]])/3,0)</f>
        <v>Q2</v>
      </c>
      <c r="K752" s="2">
        <f>(Orders[[#This Row],[Profit]]/Orders[[#This Row],[Sales]])*100</f>
        <v>17.832675003488845</v>
      </c>
    </row>
    <row r="753" spans="1:11" x14ac:dyDescent="0.3">
      <c r="A753" t="s">
        <v>997</v>
      </c>
      <c r="B753" s="1">
        <v>45303</v>
      </c>
      <c r="C753" t="s">
        <v>148</v>
      </c>
      <c r="D753" t="s">
        <v>227</v>
      </c>
      <c r="E753">
        <v>2</v>
      </c>
      <c r="F753">
        <v>18788</v>
      </c>
      <c r="G753">
        <v>3218.51</v>
      </c>
      <c r="H753" t="str">
        <f>TEXT(Orders[[#This Row],[Order_Date]],"mmmm")</f>
        <v>January</v>
      </c>
      <c r="I753">
        <f>YEAR(Orders[[#This Row],[Order_Date]])</f>
        <v>2024</v>
      </c>
      <c r="J753" t="str">
        <f>"Q"&amp;ROUNDUP(MONTH(Orders[[#This Row],[Order_Date]])/3,0)</f>
        <v>Q1</v>
      </c>
      <c r="K753" s="2">
        <f>(Orders[[#This Row],[Profit]]/Orders[[#This Row],[Sales]])*100</f>
        <v>17.130668511816054</v>
      </c>
    </row>
    <row r="754" spans="1:11" x14ac:dyDescent="0.3">
      <c r="A754" t="s">
        <v>998</v>
      </c>
      <c r="B754" s="1">
        <v>45456</v>
      </c>
      <c r="C754" t="s">
        <v>45</v>
      </c>
      <c r="D754" t="s">
        <v>263</v>
      </c>
      <c r="E754">
        <v>3</v>
      </c>
      <c r="F754">
        <v>21465</v>
      </c>
      <c r="G754">
        <v>2332.89</v>
      </c>
      <c r="H754" t="str">
        <f>TEXT(Orders[[#This Row],[Order_Date]],"mmmm")</f>
        <v>June</v>
      </c>
      <c r="I754">
        <f>YEAR(Orders[[#This Row],[Order_Date]])</f>
        <v>2024</v>
      </c>
      <c r="J754" t="str">
        <f>"Q"&amp;ROUNDUP(MONTH(Orders[[#This Row],[Order_Date]])/3,0)</f>
        <v>Q2</v>
      </c>
      <c r="K754" s="2">
        <f>(Orders[[#This Row],[Profit]]/Orders[[#This Row],[Sales]])*100</f>
        <v>10.868343815513626</v>
      </c>
    </row>
    <row r="755" spans="1:11" x14ac:dyDescent="0.3">
      <c r="A755" t="s">
        <v>999</v>
      </c>
      <c r="B755" s="1">
        <v>45490</v>
      </c>
      <c r="C755" t="s">
        <v>76</v>
      </c>
      <c r="D755" t="s">
        <v>257</v>
      </c>
      <c r="E755">
        <v>1</v>
      </c>
      <c r="F755">
        <v>6747</v>
      </c>
      <c r="G755">
        <v>1237.69</v>
      </c>
      <c r="H755" t="str">
        <f>TEXT(Orders[[#This Row],[Order_Date]],"mmmm")</f>
        <v>July</v>
      </c>
      <c r="I755">
        <f>YEAR(Orders[[#This Row],[Order_Date]])</f>
        <v>2024</v>
      </c>
      <c r="J755" t="str">
        <f>"Q"&amp;ROUNDUP(MONTH(Orders[[#This Row],[Order_Date]])/3,0)</f>
        <v>Q3</v>
      </c>
      <c r="K755" s="2">
        <f>(Orders[[#This Row],[Profit]]/Orders[[#This Row],[Sales]])*100</f>
        <v>18.344301170890766</v>
      </c>
    </row>
    <row r="756" spans="1:11" x14ac:dyDescent="0.3">
      <c r="A756" t="s">
        <v>1000</v>
      </c>
      <c r="B756" s="1">
        <v>45484</v>
      </c>
      <c r="C756" t="s">
        <v>86</v>
      </c>
      <c r="D756" t="s">
        <v>231</v>
      </c>
      <c r="E756">
        <v>2</v>
      </c>
      <c r="F756">
        <v>109874</v>
      </c>
      <c r="G756">
        <v>20654.900000000001</v>
      </c>
      <c r="H756" t="str">
        <f>TEXT(Orders[[#This Row],[Order_Date]],"mmmm")</f>
        <v>July</v>
      </c>
      <c r="I756">
        <f>YEAR(Orders[[#This Row],[Order_Date]])</f>
        <v>2024</v>
      </c>
      <c r="J756" t="str">
        <f>"Q"&amp;ROUNDUP(MONTH(Orders[[#This Row],[Order_Date]])/3,0)</f>
        <v>Q3</v>
      </c>
      <c r="K756" s="2">
        <f>(Orders[[#This Row],[Profit]]/Orders[[#This Row],[Sales]])*100</f>
        <v>18.798714891603112</v>
      </c>
    </row>
    <row r="757" spans="1:11" x14ac:dyDescent="0.3">
      <c r="A757" t="s">
        <v>1001</v>
      </c>
      <c r="B757" s="1">
        <v>45515</v>
      </c>
      <c r="C757" t="s">
        <v>27</v>
      </c>
      <c r="D757" t="s">
        <v>247</v>
      </c>
      <c r="E757">
        <v>2</v>
      </c>
      <c r="F757">
        <v>22312</v>
      </c>
      <c r="G757">
        <v>4514.3900000000003</v>
      </c>
      <c r="H757" t="str">
        <f>TEXT(Orders[[#This Row],[Order_Date]],"mmmm")</f>
        <v>August</v>
      </c>
      <c r="I757">
        <f>YEAR(Orders[[#This Row],[Order_Date]])</f>
        <v>2024</v>
      </c>
      <c r="J757" t="str">
        <f>"Q"&amp;ROUNDUP(MONTH(Orders[[#This Row],[Order_Date]])/3,0)</f>
        <v>Q3</v>
      </c>
      <c r="K757" s="2">
        <f>(Orders[[#This Row],[Profit]]/Orders[[#This Row],[Sales]])*100</f>
        <v>20.233013624955181</v>
      </c>
    </row>
    <row r="758" spans="1:11" x14ac:dyDescent="0.3">
      <c r="A758" t="s">
        <v>1002</v>
      </c>
      <c r="B758" s="1">
        <v>45474</v>
      </c>
      <c r="C758" t="s">
        <v>96</v>
      </c>
      <c r="D758" t="s">
        <v>253</v>
      </c>
      <c r="E758">
        <v>4</v>
      </c>
      <c r="F758">
        <v>24100</v>
      </c>
      <c r="G758">
        <v>5118.6099999999997</v>
      </c>
      <c r="H758" t="str">
        <f>TEXT(Orders[[#This Row],[Order_Date]],"mmmm")</f>
        <v>July</v>
      </c>
      <c r="I758">
        <f>YEAR(Orders[[#This Row],[Order_Date]])</f>
        <v>2024</v>
      </c>
      <c r="J758" t="str">
        <f>"Q"&amp;ROUNDUP(MONTH(Orders[[#This Row],[Order_Date]])/3,0)</f>
        <v>Q3</v>
      </c>
      <c r="K758" s="2">
        <f>(Orders[[#This Row],[Profit]]/Orders[[#This Row],[Sales]])*100</f>
        <v>21.239045643153524</v>
      </c>
    </row>
    <row r="759" spans="1:11" x14ac:dyDescent="0.3">
      <c r="A759" t="s">
        <v>1003</v>
      </c>
      <c r="B759" s="1">
        <v>45427</v>
      </c>
      <c r="C759" t="s">
        <v>178</v>
      </c>
      <c r="D759" t="s">
        <v>263</v>
      </c>
      <c r="E759">
        <v>3</v>
      </c>
      <c r="F759">
        <v>21465</v>
      </c>
      <c r="G759">
        <v>5055.32</v>
      </c>
      <c r="H759" t="str">
        <f>TEXT(Orders[[#This Row],[Order_Date]],"mmmm")</f>
        <v>May</v>
      </c>
      <c r="I759">
        <f>YEAR(Orders[[#This Row],[Order_Date]])</f>
        <v>2024</v>
      </c>
      <c r="J759" t="str">
        <f>"Q"&amp;ROUNDUP(MONTH(Orders[[#This Row],[Order_Date]])/3,0)</f>
        <v>Q2</v>
      </c>
      <c r="K759" s="2">
        <f>(Orders[[#This Row],[Profit]]/Orders[[#This Row],[Sales]])*100</f>
        <v>23.551455858374094</v>
      </c>
    </row>
    <row r="760" spans="1:11" x14ac:dyDescent="0.3">
      <c r="A760" t="s">
        <v>1004</v>
      </c>
      <c r="B760" s="1">
        <v>45474</v>
      </c>
      <c r="C760" t="s">
        <v>142</v>
      </c>
      <c r="D760" t="s">
        <v>235</v>
      </c>
      <c r="E760">
        <v>2</v>
      </c>
      <c r="F760">
        <v>22684</v>
      </c>
      <c r="G760">
        <v>4842.4799999999996</v>
      </c>
      <c r="H760" t="str">
        <f>TEXT(Orders[[#This Row],[Order_Date]],"mmmm")</f>
        <v>July</v>
      </c>
      <c r="I760">
        <f>YEAR(Orders[[#This Row],[Order_Date]])</f>
        <v>2024</v>
      </c>
      <c r="J760" t="str">
        <f>"Q"&amp;ROUNDUP(MONTH(Orders[[#This Row],[Order_Date]])/3,0)</f>
        <v>Q3</v>
      </c>
      <c r="K760" s="2">
        <f>(Orders[[#This Row],[Profit]]/Orders[[#This Row],[Sales]])*100</f>
        <v>21.347557749955914</v>
      </c>
    </row>
    <row r="761" spans="1:11" x14ac:dyDescent="0.3">
      <c r="A761" t="s">
        <v>1005</v>
      </c>
      <c r="B761" s="1">
        <v>45330</v>
      </c>
      <c r="C761" t="s">
        <v>56</v>
      </c>
      <c r="D761" t="s">
        <v>229</v>
      </c>
      <c r="E761">
        <v>1</v>
      </c>
      <c r="F761">
        <v>8873</v>
      </c>
      <c r="G761">
        <v>818.82</v>
      </c>
      <c r="H761" t="str">
        <f>TEXT(Orders[[#This Row],[Order_Date]],"mmmm")</f>
        <v>February</v>
      </c>
      <c r="I761">
        <f>YEAR(Orders[[#This Row],[Order_Date]])</f>
        <v>2024</v>
      </c>
      <c r="J761" t="str">
        <f>"Q"&amp;ROUNDUP(MONTH(Orders[[#This Row],[Order_Date]])/3,0)</f>
        <v>Q1</v>
      </c>
      <c r="K761" s="2">
        <f>(Orders[[#This Row],[Profit]]/Orders[[#This Row],[Sales]])*100</f>
        <v>9.2282204440437283</v>
      </c>
    </row>
    <row r="762" spans="1:11" x14ac:dyDescent="0.3">
      <c r="A762" t="s">
        <v>1006</v>
      </c>
      <c r="B762" s="1">
        <v>45449</v>
      </c>
      <c r="C762" t="s">
        <v>218</v>
      </c>
      <c r="D762" t="s">
        <v>316</v>
      </c>
      <c r="E762">
        <v>2</v>
      </c>
      <c r="F762">
        <v>108768</v>
      </c>
      <c r="G762">
        <v>17093.169999999998</v>
      </c>
      <c r="H762" t="str">
        <f>TEXT(Orders[[#This Row],[Order_Date]],"mmmm")</f>
        <v>June</v>
      </c>
      <c r="I762">
        <f>YEAR(Orders[[#This Row],[Order_Date]])</f>
        <v>2024</v>
      </c>
      <c r="J762" t="str">
        <f>"Q"&amp;ROUNDUP(MONTH(Orders[[#This Row],[Order_Date]])/3,0)</f>
        <v>Q2</v>
      </c>
      <c r="K762" s="2">
        <f>(Orders[[#This Row],[Profit]]/Orders[[#This Row],[Sales]])*100</f>
        <v>15.71525632538982</v>
      </c>
    </row>
    <row r="763" spans="1:11" x14ac:dyDescent="0.3">
      <c r="A763" t="s">
        <v>1007</v>
      </c>
      <c r="B763" s="1">
        <v>45644</v>
      </c>
      <c r="C763" t="s">
        <v>27</v>
      </c>
      <c r="D763" t="s">
        <v>231</v>
      </c>
      <c r="E763">
        <v>3</v>
      </c>
      <c r="F763">
        <v>164811</v>
      </c>
      <c r="G763">
        <v>36819.629999999997</v>
      </c>
      <c r="H763" t="str">
        <f>TEXT(Orders[[#This Row],[Order_Date]],"mmmm")</f>
        <v>December</v>
      </c>
      <c r="I763">
        <f>YEAR(Orders[[#This Row],[Order_Date]])</f>
        <v>2024</v>
      </c>
      <c r="J763" t="str">
        <f>"Q"&amp;ROUNDUP(MONTH(Orders[[#This Row],[Order_Date]])/3,0)</f>
        <v>Q4</v>
      </c>
      <c r="K763" s="2">
        <f>(Orders[[#This Row],[Profit]]/Orders[[#This Row],[Sales]])*100</f>
        <v>22.340517319839087</v>
      </c>
    </row>
    <row r="764" spans="1:11" x14ac:dyDescent="0.3">
      <c r="A764" t="s">
        <v>1008</v>
      </c>
      <c r="B764" s="1">
        <v>45512</v>
      </c>
      <c r="C764" t="s">
        <v>192</v>
      </c>
      <c r="D764" t="s">
        <v>235</v>
      </c>
      <c r="E764">
        <v>4</v>
      </c>
      <c r="F764">
        <v>45368</v>
      </c>
      <c r="G764">
        <v>9679.2099999999991</v>
      </c>
      <c r="H764" t="str">
        <f>TEXT(Orders[[#This Row],[Order_Date]],"mmmm")</f>
        <v>August</v>
      </c>
      <c r="I764">
        <f>YEAR(Orders[[#This Row],[Order_Date]])</f>
        <v>2024</v>
      </c>
      <c r="J764" t="str">
        <f>"Q"&amp;ROUNDUP(MONTH(Orders[[#This Row],[Order_Date]])/3,0)</f>
        <v>Q3</v>
      </c>
      <c r="K764" s="2">
        <f>(Orders[[#This Row],[Profit]]/Orders[[#This Row],[Sales]])*100</f>
        <v>21.334883618409449</v>
      </c>
    </row>
    <row r="765" spans="1:11" x14ac:dyDescent="0.3">
      <c r="A765" t="s">
        <v>1009</v>
      </c>
      <c r="B765" s="1">
        <v>45391</v>
      </c>
      <c r="C765" t="s">
        <v>128</v>
      </c>
      <c r="D765" t="s">
        <v>253</v>
      </c>
      <c r="E765">
        <v>5</v>
      </c>
      <c r="F765">
        <v>30125</v>
      </c>
      <c r="G765">
        <v>6098.36</v>
      </c>
      <c r="H765" t="str">
        <f>TEXT(Orders[[#This Row],[Order_Date]],"mmmm")</f>
        <v>April</v>
      </c>
      <c r="I765">
        <f>YEAR(Orders[[#This Row],[Order_Date]])</f>
        <v>2024</v>
      </c>
      <c r="J765" t="str">
        <f>"Q"&amp;ROUNDUP(MONTH(Orders[[#This Row],[Order_Date]])/3,0)</f>
        <v>Q2</v>
      </c>
      <c r="K765" s="2">
        <f>(Orders[[#This Row],[Profit]]/Orders[[#This Row],[Sales]])*100</f>
        <v>20.243518672199169</v>
      </c>
    </row>
    <row r="766" spans="1:11" x14ac:dyDescent="0.3">
      <c r="A766" t="s">
        <v>1010</v>
      </c>
      <c r="B766" s="1">
        <v>45341</v>
      </c>
      <c r="C766" t="s">
        <v>208</v>
      </c>
      <c r="D766" t="s">
        <v>283</v>
      </c>
      <c r="E766">
        <v>4</v>
      </c>
      <c r="F766">
        <v>216748</v>
      </c>
      <c r="G766">
        <v>27997.33</v>
      </c>
      <c r="H766" t="str">
        <f>TEXT(Orders[[#This Row],[Order_Date]],"mmmm")</f>
        <v>February</v>
      </c>
      <c r="I766">
        <f>YEAR(Orders[[#This Row],[Order_Date]])</f>
        <v>2024</v>
      </c>
      <c r="J766" t="str">
        <f>"Q"&amp;ROUNDUP(MONTH(Orders[[#This Row],[Order_Date]])/3,0)</f>
        <v>Q1</v>
      </c>
      <c r="K766" s="2">
        <f>(Orders[[#This Row],[Profit]]/Orders[[#This Row],[Sales]])*100</f>
        <v>12.916995773894108</v>
      </c>
    </row>
    <row r="767" spans="1:11" x14ac:dyDescent="0.3">
      <c r="A767" t="s">
        <v>1011</v>
      </c>
      <c r="B767" s="1">
        <v>45583</v>
      </c>
      <c r="C767" t="s">
        <v>39</v>
      </c>
      <c r="D767" t="s">
        <v>257</v>
      </c>
      <c r="E767">
        <v>3</v>
      </c>
      <c r="F767">
        <v>20241</v>
      </c>
      <c r="G767">
        <v>4764.21</v>
      </c>
      <c r="H767" t="str">
        <f>TEXT(Orders[[#This Row],[Order_Date]],"mmmm")</f>
        <v>October</v>
      </c>
      <c r="I767">
        <f>YEAR(Orders[[#This Row],[Order_Date]])</f>
        <v>2024</v>
      </c>
      <c r="J767" t="str">
        <f>"Q"&amp;ROUNDUP(MONTH(Orders[[#This Row],[Order_Date]])/3,0)</f>
        <v>Q4</v>
      </c>
      <c r="K767" s="2">
        <f>(Orders[[#This Row],[Profit]]/Orders[[#This Row],[Sales]])*100</f>
        <v>23.537424040314214</v>
      </c>
    </row>
    <row r="768" spans="1:11" x14ac:dyDescent="0.3">
      <c r="A768" t="s">
        <v>1012</v>
      </c>
      <c r="B768" s="1">
        <v>45484</v>
      </c>
      <c r="C768" t="s">
        <v>128</v>
      </c>
      <c r="D768" t="s">
        <v>229</v>
      </c>
      <c r="E768">
        <v>1</v>
      </c>
      <c r="F768">
        <v>8873</v>
      </c>
      <c r="G768">
        <v>1976.48</v>
      </c>
      <c r="H768" t="str">
        <f>TEXT(Orders[[#This Row],[Order_Date]],"mmmm")</f>
        <v>July</v>
      </c>
      <c r="I768">
        <f>YEAR(Orders[[#This Row],[Order_Date]])</f>
        <v>2024</v>
      </c>
      <c r="J768" t="str">
        <f>"Q"&amp;ROUNDUP(MONTH(Orders[[#This Row],[Order_Date]])/3,0)</f>
        <v>Q3</v>
      </c>
      <c r="K768" s="2">
        <f>(Orders[[#This Row],[Profit]]/Orders[[#This Row],[Sales]])*100</f>
        <v>22.27521695029866</v>
      </c>
    </row>
    <row r="769" spans="1:11" x14ac:dyDescent="0.3">
      <c r="A769" t="s">
        <v>1013</v>
      </c>
      <c r="B769" s="1">
        <v>45409</v>
      </c>
      <c r="C769" t="s">
        <v>29</v>
      </c>
      <c r="D769" t="s">
        <v>283</v>
      </c>
      <c r="E769">
        <v>5</v>
      </c>
      <c r="F769">
        <v>270935</v>
      </c>
      <c r="G769">
        <v>30935.9</v>
      </c>
      <c r="H769" t="str">
        <f>TEXT(Orders[[#This Row],[Order_Date]],"mmmm")</f>
        <v>April</v>
      </c>
      <c r="I769">
        <f>YEAR(Orders[[#This Row],[Order_Date]])</f>
        <v>2024</v>
      </c>
      <c r="J769" t="str">
        <f>"Q"&amp;ROUNDUP(MONTH(Orders[[#This Row],[Order_Date]])/3,0)</f>
        <v>Q2</v>
      </c>
      <c r="K769" s="2">
        <f>(Orders[[#This Row],[Profit]]/Orders[[#This Row],[Sales]])*100</f>
        <v>11.418199937254323</v>
      </c>
    </row>
    <row r="770" spans="1:11" x14ac:dyDescent="0.3">
      <c r="A770" t="s">
        <v>1014</v>
      </c>
      <c r="B770" s="1">
        <v>45360</v>
      </c>
      <c r="C770" t="s">
        <v>196</v>
      </c>
      <c r="D770" t="s">
        <v>316</v>
      </c>
      <c r="E770">
        <v>4</v>
      </c>
      <c r="F770">
        <v>217536</v>
      </c>
      <c r="G770">
        <v>23796.87</v>
      </c>
      <c r="H770" t="str">
        <f>TEXT(Orders[[#This Row],[Order_Date]],"mmmm")</f>
        <v>March</v>
      </c>
      <c r="I770">
        <f>YEAR(Orders[[#This Row],[Order_Date]])</f>
        <v>2024</v>
      </c>
      <c r="J770" t="str">
        <f>"Q"&amp;ROUNDUP(MONTH(Orders[[#This Row],[Order_Date]])/3,0)</f>
        <v>Q1</v>
      </c>
      <c r="K770" s="2">
        <f>(Orders[[#This Row],[Profit]]/Orders[[#This Row],[Sales]])*100</f>
        <v>10.939279015887026</v>
      </c>
    </row>
    <row r="771" spans="1:11" x14ac:dyDescent="0.3">
      <c r="A771" t="s">
        <v>1015</v>
      </c>
      <c r="B771" s="1">
        <v>45457</v>
      </c>
      <c r="C771" t="s">
        <v>76</v>
      </c>
      <c r="D771" t="s">
        <v>235</v>
      </c>
      <c r="E771">
        <v>1</v>
      </c>
      <c r="F771">
        <v>11342</v>
      </c>
      <c r="G771">
        <v>2242.8200000000002</v>
      </c>
      <c r="H771" t="str">
        <f>TEXT(Orders[[#This Row],[Order_Date]],"mmmm")</f>
        <v>June</v>
      </c>
      <c r="I771">
        <f>YEAR(Orders[[#This Row],[Order_Date]])</f>
        <v>2024</v>
      </c>
      <c r="J771" t="str">
        <f>"Q"&amp;ROUNDUP(MONTH(Orders[[#This Row],[Order_Date]])/3,0)</f>
        <v>Q2</v>
      </c>
      <c r="K771" s="2">
        <f>(Orders[[#This Row],[Profit]]/Orders[[#This Row],[Sales]])*100</f>
        <v>19.774466584376654</v>
      </c>
    </row>
    <row r="772" spans="1:11" x14ac:dyDescent="0.3">
      <c r="A772" t="s">
        <v>1016</v>
      </c>
      <c r="B772" s="1">
        <v>45539</v>
      </c>
      <c r="C772" t="s">
        <v>148</v>
      </c>
      <c r="D772" t="s">
        <v>266</v>
      </c>
      <c r="E772">
        <v>2</v>
      </c>
      <c r="F772">
        <v>22470</v>
      </c>
      <c r="G772">
        <v>3243.08</v>
      </c>
      <c r="H772" t="str">
        <f>TEXT(Orders[[#This Row],[Order_Date]],"mmmm")</f>
        <v>September</v>
      </c>
      <c r="I772">
        <f>YEAR(Orders[[#This Row],[Order_Date]])</f>
        <v>2024</v>
      </c>
      <c r="J772" t="str">
        <f>"Q"&amp;ROUNDUP(MONTH(Orders[[#This Row],[Order_Date]])/3,0)</f>
        <v>Q3</v>
      </c>
      <c r="K772" s="2">
        <f>(Orders[[#This Row],[Profit]]/Orders[[#This Row],[Sales]])*100</f>
        <v>14.43293279928794</v>
      </c>
    </row>
    <row r="773" spans="1:11" x14ac:dyDescent="0.3">
      <c r="A773" t="s">
        <v>1017</v>
      </c>
      <c r="B773" s="1">
        <v>45640</v>
      </c>
      <c r="C773" t="s">
        <v>164</v>
      </c>
      <c r="D773" t="s">
        <v>257</v>
      </c>
      <c r="E773">
        <v>1</v>
      </c>
      <c r="F773">
        <v>6747</v>
      </c>
      <c r="G773">
        <v>1117.44</v>
      </c>
      <c r="H773" t="str">
        <f>TEXT(Orders[[#This Row],[Order_Date]],"mmmm")</f>
        <v>December</v>
      </c>
      <c r="I773">
        <f>YEAR(Orders[[#This Row],[Order_Date]])</f>
        <v>2024</v>
      </c>
      <c r="J773" t="str">
        <f>"Q"&amp;ROUNDUP(MONTH(Orders[[#This Row],[Order_Date]])/3,0)</f>
        <v>Q4</v>
      </c>
      <c r="K773" s="2">
        <f>(Orders[[#This Row],[Profit]]/Orders[[#This Row],[Sales]])*100</f>
        <v>16.562027567807917</v>
      </c>
    </row>
    <row r="774" spans="1:11" x14ac:dyDescent="0.3">
      <c r="A774" t="s">
        <v>1018</v>
      </c>
      <c r="B774" s="1">
        <v>45577</v>
      </c>
      <c r="C774" t="s">
        <v>82</v>
      </c>
      <c r="D774" t="s">
        <v>260</v>
      </c>
      <c r="E774">
        <v>1</v>
      </c>
      <c r="F774">
        <v>55950</v>
      </c>
      <c r="G774">
        <v>7079.21</v>
      </c>
      <c r="H774" t="str">
        <f>TEXT(Orders[[#This Row],[Order_Date]],"mmmm")</f>
        <v>October</v>
      </c>
      <c r="I774">
        <f>YEAR(Orders[[#This Row],[Order_Date]])</f>
        <v>2024</v>
      </c>
      <c r="J774" t="str">
        <f>"Q"&amp;ROUNDUP(MONTH(Orders[[#This Row],[Order_Date]])/3,0)</f>
        <v>Q4</v>
      </c>
      <c r="K774" s="2">
        <f>(Orders[[#This Row],[Profit]]/Orders[[#This Row],[Sales]])*100</f>
        <v>12.652743521000895</v>
      </c>
    </row>
    <row r="775" spans="1:11" x14ac:dyDescent="0.3">
      <c r="A775" t="s">
        <v>1019</v>
      </c>
      <c r="B775" s="1">
        <v>45401</v>
      </c>
      <c r="C775" t="s">
        <v>13</v>
      </c>
      <c r="D775" t="s">
        <v>344</v>
      </c>
      <c r="E775">
        <v>3</v>
      </c>
      <c r="F775">
        <v>27303</v>
      </c>
      <c r="G775">
        <v>3509.22</v>
      </c>
      <c r="H775" t="str">
        <f>TEXT(Orders[[#This Row],[Order_Date]],"mmmm")</f>
        <v>April</v>
      </c>
      <c r="I775">
        <f>YEAR(Orders[[#This Row],[Order_Date]])</f>
        <v>2024</v>
      </c>
      <c r="J775" t="str">
        <f>"Q"&amp;ROUNDUP(MONTH(Orders[[#This Row],[Order_Date]])/3,0)</f>
        <v>Q2</v>
      </c>
      <c r="K775" s="2">
        <f>(Orders[[#This Row],[Profit]]/Orders[[#This Row],[Sales]])*100</f>
        <v>12.852873310625204</v>
      </c>
    </row>
    <row r="776" spans="1:11" x14ac:dyDescent="0.3">
      <c r="A776" t="s">
        <v>1020</v>
      </c>
      <c r="B776" s="1">
        <v>45372</v>
      </c>
      <c r="C776" t="s">
        <v>29</v>
      </c>
      <c r="D776" t="s">
        <v>279</v>
      </c>
      <c r="E776">
        <v>2</v>
      </c>
      <c r="F776">
        <v>12440</v>
      </c>
      <c r="G776">
        <v>1264.69</v>
      </c>
      <c r="H776" t="str">
        <f>TEXT(Orders[[#This Row],[Order_Date]],"mmmm")</f>
        <v>March</v>
      </c>
      <c r="I776">
        <f>YEAR(Orders[[#This Row],[Order_Date]])</f>
        <v>2024</v>
      </c>
      <c r="J776" t="str">
        <f>"Q"&amp;ROUNDUP(MONTH(Orders[[#This Row],[Order_Date]])/3,0)</f>
        <v>Q1</v>
      </c>
      <c r="K776" s="2">
        <f>(Orders[[#This Row],[Profit]]/Orders[[#This Row],[Sales]])*100</f>
        <v>10.166318327974277</v>
      </c>
    </row>
    <row r="777" spans="1:11" x14ac:dyDescent="0.3">
      <c r="A777" t="s">
        <v>1021</v>
      </c>
      <c r="B777" s="1">
        <v>45358</v>
      </c>
      <c r="C777" t="s">
        <v>170</v>
      </c>
      <c r="D777" t="s">
        <v>283</v>
      </c>
      <c r="E777">
        <v>3</v>
      </c>
      <c r="F777">
        <v>162561</v>
      </c>
      <c r="G777">
        <v>34153.93</v>
      </c>
      <c r="H777" t="str">
        <f>TEXT(Orders[[#This Row],[Order_Date]],"mmmm")</f>
        <v>March</v>
      </c>
      <c r="I777">
        <f>YEAR(Orders[[#This Row],[Order_Date]])</f>
        <v>2024</v>
      </c>
      <c r="J777" t="str">
        <f>"Q"&amp;ROUNDUP(MONTH(Orders[[#This Row],[Order_Date]])/3,0)</f>
        <v>Q1</v>
      </c>
      <c r="K777" s="2">
        <f>(Orders[[#This Row],[Profit]]/Orders[[#This Row],[Sales]])*100</f>
        <v>21.009916277581954</v>
      </c>
    </row>
    <row r="778" spans="1:11" x14ac:dyDescent="0.3">
      <c r="A778" t="s">
        <v>1022</v>
      </c>
      <c r="B778" s="1">
        <v>45402</v>
      </c>
      <c r="C778" t="s">
        <v>37</v>
      </c>
      <c r="D778" t="s">
        <v>263</v>
      </c>
      <c r="E778">
        <v>2</v>
      </c>
      <c r="F778">
        <v>14310</v>
      </c>
      <c r="G778">
        <v>2609.36</v>
      </c>
      <c r="H778" t="str">
        <f>TEXT(Orders[[#This Row],[Order_Date]],"mmmm")</f>
        <v>April</v>
      </c>
      <c r="I778">
        <f>YEAR(Orders[[#This Row],[Order_Date]])</f>
        <v>2024</v>
      </c>
      <c r="J778" t="str">
        <f>"Q"&amp;ROUNDUP(MONTH(Orders[[#This Row],[Order_Date]])/3,0)</f>
        <v>Q2</v>
      </c>
      <c r="K778" s="2">
        <f>(Orders[[#This Row],[Profit]]/Orders[[#This Row],[Sales]])*100</f>
        <v>18.234521313766596</v>
      </c>
    </row>
    <row r="779" spans="1:11" x14ac:dyDescent="0.3">
      <c r="A779" t="s">
        <v>1023</v>
      </c>
      <c r="B779" s="1">
        <v>45324</v>
      </c>
      <c r="C779" t="s">
        <v>120</v>
      </c>
      <c r="D779" t="s">
        <v>241</v>
      </c>
      <c r="E779">
        <v>4</v>
      </c>
      <c r="F779">
        <v>33448</v>
      </c>
      <c r="G779">
        <v>3660.22</v>
      </c>
      <c r="H779" t="str">
        <f>TEXT(Orders[[#This Row],[Order_Date]],"mmmm")</f>
        <v>February</v>
      </c>
      <c r="I779">
        <f>YEAR(Orders[[#This Row],[Order_Date]])</f>
        <v>2024</v>
      </c>
      <c r="J779" t="str">
        <f>"Q"&amp;ROUNDUP(MONTH(Orders[[#This Row],[Order_Date]])/3,0)</f>
        <v>Q1</v>
      </c>
      <c r="K779" s="2">
        <f>(Orders[[#This Row],[Profit]]/Orders[[#This Row],[Sales]])*100</f>
        <v>10.943016024874431</v>
      </c>
    </row>
    <row r="780" spans="1:11" x14ac:dyDescent="0.3">
      <c r="A780" t="s">
        <v>1024</v>
      </c>
      <c r="B780" s="1">
        <v>45369</v>
      </c>
      <c r="C780" t="s">
        <v>146</v>
      </c>
      <c r="D780" t="s">
        <v>227</v>
      </c>
      <c r="E780">
        <v>2</v>
      </c>
      <c r="F780">
        <v>18788</v>
      </c>
      <c r="G780">
        <v>1735.43</v>
      </c>
      <c r="H780" t="str">
        <f>TEXT(Orders[[#This Row],[Order_Date]],"mmmm")</f>
        <v>March</v>
      </c>
      <c r="I780">
        <f>YEAR(Orders[[#This Row],[Order_Date]])</f>
        <v>2024</v>
      </c>
      <c r="J780" t="str">
        <f>"Q"&amp;ROUNDUP(MONTH(Orders[[#This Row],[Order_Date]])/3,0)</f>
        <v>Q1</v>
      </c>
      <c r="K780" s="2">
        <f>(Orders[[#This Row],[Profit]]/Orders[[#This Row],[Sales]])*100</f>
        <v>9.2369065360868632</v>
      </c>
    </row>
    <row r="781" spans="1:11" x14ac:dyDescent="0.3">
      <c r="A781" t="s">
        <v>1025</v>
      </c>
      <c r="B781" s="1">
        <v>45367</v>
      </c>
      <c r="C781" t="s">
        <v>82</v>
      </c>
      <c r="D781" t="s">
        <v>263</v>
      </c>
      <c r="E781">
        <v>5</v>
      </c>
      <c r="F781">
        <v>35775</v>
      </c>
      <c r="G781">
        <v>6594.92</v>
      </c>
      <c r="H781" t="str">
        <f>TEXT(Orders[[#This Row],[Order_Date]],"mmmm")</f>
        <v>March</v>
      </c>
      <c r="I781">
        <f>YEAR(Orders[[#This Row],[Order_Date]])</f>
        <v>2024</v>
      </c>
      <c r="J781" t="str">
        <f>"Q"&amp;ROUNDUP(MONTH(Orders[[#This Row],[Order_Date]])/3,0)</f>
        <v>Q1</v>
      </c>
      <c r="K781" s="2">
        <f>(Orders[[#This Row],[Profit]]/Orders[[#This Row],[Sales]])*100</f>
        <v>18.434437456324247</v>
      </c>
    </row>
    <row r="782" spans="1:11" x14ac:dyDescent="0.3">
      <c r="A782" t="s">
        <v>1026</v>
      </c>
      <c r="B782" s="1">
        <v>45585</v>
      </c>
      <c r="C782" t="s">
        <v>160</v>
      </c>
      <c r="D782" t="s">
        <v>231</v>
      </c>
      <c r="E782">
        <v>1</v>
      </c>
      <c r="F782">
        <v>54937</v>
      </c>
      <c r="G782">
        <v>13655.71</v>
      </c>
      <c r="H782" t="str">
        <f>TEXT(Orders[[#This Row],[Order_Date]],"mmmm")</f>
        <v>October</v>
      </c>
      <c r="I782">
        <f>YEAR(Orders[[#This Row],[Order_Date]])</f>
        <v>2024</v>
      </c>
      <c r="J782" t="str">
        <f>"Q"&amp;ROUNDUP(MONTH(Orders[[#This Row],[Order_Date]])/3,0)</f>
        <v>Q4</v>
      </c>
      <c r="K782" s="2">
        <f>(Orders[[#This Row],[Profit]]/Orders[[#This Row],[Sales]])*100</f>
        <v>24.857036241513004</v>
      </c>
    </row>
    <row r="783" spans="1:11" x14ac:dyDescent="0.3">
      <c r="A783" t="s">
        <v>1027</v>
      </c>
      <c r="B783" s="1">
        <v>45383</v>
      </c>
      <c r="C783" t="s">
        <v>114</v>
      </c>
      <c r="D783" t="s">
        <v>237</v>
      </c>
      <c r="E783">
        <v>3</v>
      </c>
      <c r="F783">
        <v>25878</v>
      </c>
      <c r="G783">
        <v>4394.2700000000004</v>
      </c>
      <c r="H783" t="str">
        <f>TEXT(Orders[[#This Row],[Order_Date]],"mmmm")</f>
        <v>April</v>
      </c>
      <c r="I783">
        <f>YEAR(Orders[[#This Row],[Order_Date]])</f>
        <v>2024</v>
      </c>
      <c r="J783" t="str">
        <f>"Q"&amp;ROUNDUP(MONTH(Orders[[#This Row],[Order_Date]])/3,0)</f>
        <v>Q2</v>
      </c>
      <c r="K783" s="2">
        <f>(Orders[[#This Row],[Profit]]/Orders[[#This Row],[Sales]])*100</f>
        <v>16.980717211531033</v>
      </c>
    </row>
    <row r="784" spans="1:11" x14ac:dyDescent="0.3">
      <c r="A784" t="s">
        <v>1028</v>
      </c>
      <c r="B784" s="1">
        <v>45577</v>
      </c>
      <c r="C784" t="s">
        <v>188</v>
      </c>
      <c r="D784" t="s">
        <v>245</v>
      </c>
      <c r="E784">
        <v>4</v>
      </c>
      <c r="F784">
        <v>96944</v>
      </c>
      <c r="G784">
        <v>14900.56</v>
      </c>
      <c r="H784" t="str">
        <f>TEXT(Orders[[#This Row],[Order_Date]],"mmmm")</f>
        <v>October</v>
      </c>
      <c r="I784">
        <f>YEAR(Orders[[#This Row],[Order_Date]])</f>
        <v>2024</v>
      </c>
      <c r="J784" t="str">
        <f>"Q"&amp;ROUNDUP(MONTH(Orders[[#This Row],[Order_Date]])/3,0)</f>
        <v>Q4</v>
      </c>
      <c r="K784" s="2">
        <f>(Orders[[#This Row],[Profit]]/Orders[[#This Row],[Sales]])*100</f>
        <v>15.370275623040106</v>
      </c>
    </row>
    <row r="785" spans="1:11" x14ac:dyDescent="0.3">
      <c r="A785" t="s">
        <v>1029</v>
      </c>
      <c r="B785" s="1">
        <v>45575</v>
      </c>
      <c r="C785" t="s">
        <v>166</v>
      </c>
      <c r="D785" t="s">
        <v>241</v>
      </c>
      <c r="E785">
        <v>2</v>
      </c>
      <c r="F785">
        <v>16724</v>
      </c>
      <c r="G785">
        <v>3974.97</v>
      </c>
      <c r="H785" t="str">
        <f>TEXT(Orders[[#This Row],[Order_Date]],"mmmm")</f>
        <v>October</v>
      </c>
      <c r="I785">
        <f>YEAR(Orders[[#This Row],[Order_Date]])</f>
        <v>2024</v>
      </c>
      <c r="J785" t="str">
        <f>"Q"&amp;ROUNDUP(MONTH(Orders[[#This Row],[Order_Date]])/3,0)</f>
        <v>Q4</v>
      </c>
      <c r="K785" s="2">
        <f>(Orders[[#This Row],[Profit]]/Orders[[#This Row],[Sales]])*100</f>
        <v>23.768057880889735</v>
      </c>
    </row>
    <row r="786" spans="1:11" x14ac:dyDescent="0.3">
      <c r="A786" t="s">
        <v>1030</v>
      </c>
      <c r="B786" s="1">
        <v>45480</v>
      </c>
      <c r="C786" t="s">
        <v>170</v>
      </c>
      <c r="D786" t="s">
        <v>239</v>
      </c>
      <c r="E786">
        <v>4</v>
      </c>
      <c r="F786">
        <v>100636</v>
      </c>
      <c r="G786">
        <v>20737.82</v>
      </c>
      <c r="H786" t="str">
        <f>TEXT(Orders[[#This Row],[Order_Date]],"mmmm")</f>
        <v>July</v>
      </c>
      <c r="I786">
        <f>YEAR(Orders[[#This Row],[Order_Date]])</f>
        <v>2024</v>
      </c>
      <c r="J786" t="str">
        <f>"Q"&amp;ROUNDUP(MONTH(Orders[[#This Row],[Order_Date]])/3,0)</f>
        <v>Q3</v>
      </c>
      <c r="K786" s="2">
        <f>(Orders[[#This Row],[Profit]]/Orders[[#This Row],[Sales]])*100</f>
        <v>20.606761000039747</v>
      </c>
    </row>
    <row r="787" spans="1:11" x14ac:dyDescent="0.3">
      <c r="A787" t="s">
        <v>1031</v>
      </c>
      <c r="B787" s="1">
        <v>45462</v>
      </c>
      <c r="C787" t="s">
        <v>76</v>
      </c>
      <c r="D787" t="s">
        <v>266</v>
      </c>
      <c r="E787">
        <v>5</v>
      </c>
      <c r="F787">
        <v>56175</v>
      </c>
      <c r="G787">
        <v>13570.63</v>
      </c>
      <c r="H787" t="str">
        <f>TEXT(Orders[[#This Row],[Order_Date]],"mmmm")</f>
        <v>June</v>
      </c>
      <c r="I787">
        <f>YEAR(Orders[[#This Row],[Order_Date]])</f>
        <v>2024</v>
      </c>
      <c r="J787" t="str">
        <f>"Q"&amp;ROUNDUP(MONTH(Orders[[#This Row],[Order_Date]])/3,0)</f>
        <v>Q2</v>
      </c>
      <c r="K787" s="2">
        <f>(Orders[[#This Row],[Profit]]/Orders[[#This Row],[Sales]])*100</f>
        <v>24.157774810858921</v>
      </c>
    </row>
    <row r="788" spans="1:11" x14ac:dyDescent="0.3">
      <c r="A788" t="s">
        <v>1032</v>
      </c>
      <c r="B788" s="1">
        <v>45316</v>
      </c>
      <c r="C788" t="s">
        <v>190</v>
      </c>
      <c r="D788" t="s">
        <v>245</v>
      </c>
      <c r="E788">
        <v>2</v>
      </c>
      <c r="F788">
        <v>48472</v>
      </c>
      <c r="G788">
        <v>4308.96</v>
      </c>
      <c r="H788" t="str">
        <f>TEXT(Orders[[#This Row],[Order_Date]],"mmmm")</f>
        <v>January</v>
      </c>
      <c r="I788">
        <f>YEAR(Orders[[#This Row],[Order_Date]])</f>
        <v>2024</v>
      </c>
      <c r="J788" t="str">
        <f>"Q"&amp;ROUNDUP(MONTH(Orders[[#This Row],[Order_Date]])/3,0)</f>
        <v>Q1</v>
      </c>
      <c r="K788" s="2">
        <f>(Orders[[#This Row],[Profit]]/Orders[[#This Row],[Sales]])*100</f>
        <v>8.8895857402211593</v>
      </c>
    </row>
    <row r="789" spans="1:11" x14ac:dyDescent="0.3">
      <c r="A789" t="s">
        <v>1033</v>
      </c>
      <c r="B789" s="1">
        <v>45530</v>
      </c>
      <c r="C789" t="s">
        <v>114</v>
      </c>
      <c r="D789" t="s">
        <v>235</v>
      </c>
      <c r="E789">
        <v>4</v>
      </c>
      <c r="F789">
        <v>45368</v>
      </c>
      <c r="G789">
        <v>4875.17</v>
      </c>
      <c r="H789" t="str">
        <f>TEXT(Orders[[#This Row],[Order_Date]],"mmmm")</f>
        <v>August</v>
      </c>
      <c r="I789">
        <f>YEAR(Orders[[#This Row],[Order_Date]])</f>
        <v>2024</v>
      </c>
      <c r="J789" t="str">
        <f>"Q"&amp;ROUNDUP(MONTH(Orders[[#This Row],[Order_Date]])/3,0)</f>
        <v>Q3</v>
      </c>
      <c r="K789" s="2">
        <f>(Orders[[#This Row],[Profit]]/Orders[[#This Row],[Sales]])*100</f>
        <v>10.745834068065598</v>
      </c>
    </row>
    <row r="790" spans="1:11" x14ac:dyDescent="0.3">
      <c r="A790" t="s">
        <v>1034</v>
      </c>
      <c r="B790" s="1">
        <v>45394</v>
      </c>
      <c r="C790" t="s">
        <v>166</v>
      </c>
      <c r="D790" t="s">
        <v>253</v>
      </c>
      <c r="E790">
        <v>3</v>
      </c>
      <c r="F790">
        <v>18075</v>
      </c>
      <c r="G790">
        <v>1926.07</v>
      </c>
      <c r="H790" t="str">
        <f>TEXT(Orders[[#This Row],[Order_Date]],"mmmm")</f>
        <v>April</v>
      </c>
      <c r="I790">
        <f>YEAR(Orders[[#This Row],[Order_Date]])</f>
        <v>2024</v>
      </c>
      <c r="J790" t="str">
        <f>"Q"&amp;ROUNDUP(MONTH(Orders[[#This Row],[Order_Date]])/3,0)</f>
        <v>Q2</v>
      </c>
      <c r="K790" s="2">
        <f>(Orders[[#This Row],[Profit]]/Orders[[#This Row],[Sales]])*100</f>
        <v>10.655988934993085</v>
      </c>
    </row>
    <row r="791" spans="1:11" x14ac:dyDescent="0.3">
      <c r="A791" t="s">
        <v>1035</v>
      </c>
      <c r="B791" s="1">
        <v>45398</v>
      </c>
      <c r="C791" t="s">
        <v>158</v>
      </c>
      <c r="D791" t="s">
        <v>316</v>
      </c>
      <c r="E791">
        <v>5</v>
      </c>
      <c r="F791">
        <v>271920</v>
      </c>
      <c r="G791">
        <v>34797.21</v>
      </c>
      <c r="H791" t="str">
        <f>TEXT(Orders[[#This Row],[Order_Date]],"mmmm")</f>
        <v>April</v>
      </c>
      <c r="I791">
        <f>YEAR(Orders[[#This Row],[Order_Date]])</f>
        <v>2024</v>
      </c>
      <c r="J791" t="str">
        <f>"Q"&amp;ROUNDUP(MONTH(Orders[[#This Row],[Order_Date]])/3,0)</f>
        <v>Q2</v>
      </c>
      <c r="K791" s="2">
        <f>(Orders[[#This Row],[Profit]]/Orders[[#This Row],[Sales]])*100</f>
        <v>12.796855692850839</v>
      </c>
    </row>
    <row r="792" spans="1:11" x14ac:dyDescent="0.3">
      <c r="A792" t="s">
        <v>1036</v>
      </c>
      <c r="B792" s="1">
        <v>45632</v>
      </c>
      <c r="C792" t="s">
        <v>51</v>
      </c>
      <c r="D792" t="s">
        <v>235</v>
      </c>
      <c r="E792">
        <v>2</v>
      </c>
      <c r="F792">
        <v>22684</v>
      </c>
      <c r="G792">
        <v>2904.78</v>
      </c>
      <c r="H792" t="str">
        <f>TEXT(Orders[[#This Row],[Order_Date]],"mmmm")</f>
        <v>December</v>
      </c>
      <c r="I792">
        <f>YEAR(Orders[[#This Row],[Order_Date]])</f>
        <v>2024</v>
      </c>
      <c r="J792" t="str">
        <f>"Q"&amp;ROUNDUP(MONTH(Orders[[#This Row],[Order_Date]])/3,0)</f>
        <v>Q4</v>
      </c>
      <c r="K792" s="2">
        <f>(Orders[[#This Row],[Profit]]/Orders[[#This Row],[Sales]])*100</f>
        <v>12.805413507317933</v>
      </c>
    </row>
    <row r="793" spans="1:11" x14ac:dyDescent="0.3">
      <c r="A793" t="s">
        <v>1037</v>
      </c>
      <c r="B793" s="1">
        <v>45635</v>
      </c>
      <c r="C793" t="s">
        <v>41</v>
      </c>
      <c r="D793" t="s">
        <v>227</v>
      </c>
      <c r="E793">
        <v>4</v>
      </c>
      <c r="F793">
        <v>37576</v>
      </c>
      <c r="G793">
        <v>6277.03</v>
      </c>
      <c r="H793" t="str">
        <f>TEXT(Orders[[#This Row],[Order_Date]],"mmmm")</f>
        <v>December</v>
      </c>
      <c r="I793">
        <f>YEAR(Orders[[#This Row],[Order_Date]])</f>
        <v>2024</v>
      </c>
      <c r="J793" t="str">
        <f>"Q"&amp;ROUNDUP(MONTH(Orders[[#This Row],[Order_Date]])/3,0)</f>
        <v>Q4</v>
      </c>
      <c r="K793" s="2">
        <f>(Orders[[#This Row],[Profit]]/Orders[[#This Row],[Sales]])*100</f>
        <v>16.704891420055354</v>
      </c>
    </row>
    <row r="794" spans="1:11" x14ac:dyDescent="0.3">
      <c r="A794" t="s">
        <v>1038</v>
      </c>
      <c r="B794" s="1">
        <v>45617</v>
      </c>
      <c r="C794" t="s">
        <v>96</v>
      </c>
      <c r="D794" t="s">
        <v>316</v>
      </c>
      <c r="E794">
        <v>1</v>
      </c>
      <c r="F794">
        <v>54384</v>
      </c>
      <c r="G794">
        <v>7823.9</v>
      </c>
      <c r="H794" t="str">
        <f>TEXT(Orders[[#This Row],[Order_Date]],"mmmm")</f>
        <v>November</v>
      </c>
      <c r="I794">
        <f>YEAR(Orders[[#This Row],[Order_Date]])</f>
        <v>2024</v>
      </c>
      <c r="J794" t="str">
        <f>"Q"&amp;ROUNDUP(MONTH(Orders[[#This Row],[Order_Date]])/3,0)</f>
        <v>Q4</v>
      </c>
      <c r="K794" s="2">
        <f>(Orders[[#This Row],[Profit]]/Orders[[#This Row],[Sales]])*100</f>
        <v>14.386400411885846</v>
      </c>
    </row>
    <row r="795" spans="1:11" x14ac:dyDescent="0.3">
      <c r="A795" t="s">
        <v>1039</v>
      </c>
      <c r="B795" s="1">
        <v>45610</v>
      </c>
      <c r="C795" t="s">
        <v>198</v>
      </c>
      <c r="D795" t="s">
        <v>247</v>
      </c>
      <c r="E795">
        <v>3</v>
      </c>
      <c r="F795">
        <v>33468</v>
      </c>
      <c r="G795">
        <v>6927.25</v>
      </c>
      <c r="H795" t="str">
        <f>TEXT(Orders[[#This Row],[Order_Date]],"mmmm")</f>
        <v>November</v>
      </c>
      <c r="I795">
        <f>YEAR(Orders[[#This Row],[Order_Date]])</f>
        <v>2024</v>
      </c>
      <c r="J795" t="str">
        <f>"Q"&amp;ROUNDUP(MONTH(Orders[[#This Row],[Order_Date]])/3,0)</f>
        <v>Q4</v>
      </c>
      <c r="K795" s="2">
        <f>(Orders[[#This Row],[Profit]]/Orders[[#This Row],[Sales]])*100</f>
        <v>20.698129556591372</v>
      </c>
    </row>
    <row r="796" spans="1:11" x14ac:dyDescent="0.3">
      <c r="A796" t="s">
        <v>1040</v>
      </c>
      <c r="B796" s="1">
        <v>45525</v>
      </c>
      <c r="C796" t="s">
        <v>72</v>
      </c>
      <c r="D796" t="s">
        <v>283</v>
      </c>
      <c r="E796">
        <v>1</v>
      </c>
      <c r="F796">
        <v>54187</v>
      </c>
      <c r="G796">
        <v>13538.69</v>
      </c>
      <c r="H796" t="str">
        <f>TEXT(Orders[[#This Row],[Order_Date]],"mmmm")</f>
        <v>August</v>
      </c>
      <c r="I796">
        <f>YEAR(Orders[[#This Row],[Order_Date]])</f>
        <v>2024</v>
      </c>
      <c r="J796" t="str">
        <f>"Q"&amp;ROUNDUP(MONTH(Orders[[#This Row],[Order_Date]])/3,0)</f>
        <v>Q3</v>
      </c>
      <c r="K796" s="2">
        <f>(Orders[[#This Row],[Profit]]/Orders[[#This Row],[Sales]])*100</f>
        <v>24.98512558362707</v>
      </c>
    </row>
    <row r="797" spans="1:11" x14ac:dyDescent="0.3">
      <c r="A797" t="s">
        <v>1041</v>
      </c>
      <c r="B797" s="1">
        <v>45378</v>
      </c>
      <c r="C797" t="s">
        <v>102</v>
      </c>
      <c r="D797" t="s">
        <v>283</v>
      </c>
      <c r="E797">
        <v>2</v>
      </c>
      <c r="F797">
        <v>108374</v>
      </c>
      <c r="G797">
        <v>20599.12</v>
      </c>
      <c r="H797" t="str">
        <f>TEXT(Orders[[#This Row],[Order_Date]],"mmmm")</f>
        <v>March</v>
      </c>
      <c r="I797">
        <f>YEAR(Orders[[#This Row],[Order_Date]])</f>
        <v>2024</v>
      </c>
      <c r="J797" t="str">
        <f>"Q"&amp;ROUNDUP(MONTH(Orders[[#This Row],[Order_Date]])/3,0)</f>
        <v>Q1</v>
      </c>
      <c r="K797" s="2">
        <f>(Orders[[#This Row],[Profit]]/Orders[[#This Row],[Sales]])*100</f>
        <v>19.007437208186463</v>
      </c>
    </row>
    <row r="798" spans="1:11" x14ac:dyDescent="0.3">
      <c r="A798" t="s">
        <v>1042</v>
      </c>
      <c r="B798" s="1">
        <v>45300</v>
      </c>
      <c r="C798" t="s">
        <v>148</v>
      </c>
      <c r="D798" t="s">
        <v>247</v>
      </c>
      <c r="E798">
        <v>4</v>
      </c>
      <c r="F798">
        <v>44624</v>
      </c>
      <c r="G798">
        <v>10754.52</v>
      </c>
      <c r="H798" t="str">
        <f>TEXT(Orders[[#This Row],[Order_Date]],"mmmm")</f>
        <v>January</v>
      </c>
      <c r="I798">
        <f>YEAR(Orders[[#This Row],[Order_Date]])</f>
        <v>2024</v>
      </c>
      <c r="J798" t="str">
        <f>"Q"&amp;ROUNDUP(MONTH(Orders[[#This Row],[Order_Date]])/3,0)</f>
        <v>Q1</v>
      </c>
      <c r="K798" s="2">
        <f>(Orders[[#This Row],[Profit]]/Orders[[#This Row],[Sales]])*100</f>
        <v>24.100304768734315</v>
      </c>
    </row>
    <row r="799" spans="1:11" x14ac:dyDescent="0.3">
      <c r="A799" t="s">
        <v>1043</v>
      </c>
      <c r="B799" s="1">
        <v>45510</v>
      </c>
      <c r="C799" t="s">
        <v>150</v>
      </c>
      <c r="D799" t="s">
        <v>316</v>
      </c>
      <c r="E799">
        <v>4</v>
      </c>
      <c r="F799">
        <v>217536</v>
      </c>
      <c r="G799">
        <v>31042.43</v>
      </c>
      <c r="H799" t="str">
        <f>TEXT(Orders[[#This Row],[Order_Date]],"mmmm")</f>
        <v>August</v>
      </c>
      <c r="I799">
        <f>YEAR(Orders[[#This Row],[Order_Date]])</f>
        <v>2024</v>
      </c>
      <c r="J799" t="str">
        <f>"Q"&amp;ROUNDUP(MONTH(Orders[[#This Row],[Order_Date]])/3,0)</f>
        <v>Q3</v>
      </c>
      <c r="K799" s="2">
        <f>(Orders[[#This Row],[Profit]]/Orders[[#This Row],[Sales]])*100</f>
        <v>14.270019674904383</v>
      </c>
    </row>
    <row r="800" spans="1:11" x14ac:dyDescent="0.3">
      <c r="A800" t="s">
        <v>1044</v>
      </c>
      <c r="B800" s="1">
        <v>45413</v>
      </c>
      <c r="C800" t="s">
        <v>22</v>
      </c>
      <c r="D800" t="s">
        <v>235</v>
      </c>
      <c r="E800">
        <v>4</v>
      </c>
      <c r="F800">
        <v>45368</v>
      </c>
      <c r="G800">
        <v>6631.1</v>
      </c>
      <c r="H800" t="str">
        <f>TEXT(Orders[[#This Row],[Order_Date]],"mmmm")</f>
        <v>May</v>
      </c>
      <c r="I800">
        <f>YEAR(Orders[[#This Row],[Order_Date]])</f>
        <v>2024</v>
      </c>
      <c r="J800" t="str">
        <f>"Q"&amp;ROUNDUP(MONTH(Orders[[#This Row],[Order_Date]])/3,0)</f>
        <v>Q2</v>
      </c>
      <c r="K800" s="2">
        <f>(Orders[[#This Row],[Profit]]/Orders[[#This Row],[Sales]])*100</f>
        <v>14.616249338740964</v>
      </c>
    </row>
    <row r="801" spans="1:11" x14ac:dyDescent="0.3">
      <c r="A801" t="s">
        <v>1045</v>
      </c>
      <c r="B801" s="1">
        <v>45626</v>
      </c>
      <c r="C801" t="s">
        <v>152</v>
      </c>
      <c r="D801" t="s">
        <v>344</v>
      </c>
      <c r="E801">
        <v>5</v>
      </c>
      <c r="F801">
        <v>45505</v>
      </c>
      <c r="G801">
        <v>8491.09</v>
      </c>
      <c r="H801" t="str">
        <f>TEXT(Orders[[#This Row],[Order_Date]],"mmmm")</f>
        <v>November</v>
      </c>
      <c r="I801">
        <f>YEAR(Orders[[#This Row],[Order_Date]])</f>
        <v>2024</v>
      </c>
      <c r="J801" t="str">
        <f>"Q"&amp;ROUNDUP(MONTH(Orders[[#This Row],[Order_Date]])/3,0)</f>
        <v>Q4</v>
      </c>
      <c r="K801" s="2">
        <f>(Orders[[#This Row],[Profit]]/Orders[[#This Row],[Sales]])*100</f>
        <v>18.659685748818809</v>
      </c>
    </row>
    <row r="802" spans="1:11" x14ac:dyDescent="0.3">
      <c r="A802" t="s">
        <v>1046</v>
      </c>
      <c r="B802" s="1">
        <v>45361</v>
      </c>
      <c r="C802" t="s">
        <v>70</v>
      </c>
      <c r="D802" t="s">
        <v>233</v>
      </c>
      <c r="E802">
        <v>1</v>
      </c>
      <c r="F802">
        <v>55695</v>
      </c>
      <c r="G802">
        <v>13695.13</v>
      </c>
      <c r="H802" t="str">
        <f>TEXT(Orders[[#This Row],[Order_Date]],"mmmm")</f>
        <v>March</v>
      </c>
      <c r="I802">
        <f>YEAR(Orders[[#This Row],[Order_Date]])</f>
        <v>2024</v>
      </c>
      <c r="J802" t="str">
        <f>"Q"&amp;ROUNDUP(MONTH(Orders[[#This Row],[Order_Date]])/3,0)</f>
        <v>Q1</v>
      </c>
      <c r="K802" s="2">
        <f>(Orders[[#This Row],[Profit]]/Orders[[#This Row],[Sales]])*100</f>
        <v>24.589514319059163</v>
      </c>
    </row>
    <row r="803" spans="1:11" x14ac:dyDescent="0.3">
      <c r="A803" t="s">
        <v>1047</v>
      </c>
      <c r="B803" s="1">
        <v>45420</v>
      </c>
      <c r="C803" t="s">
        <v>132</v>
      </c>
      <c r="D803" t="s">
        <v>257</v>
      </c>
      <c r="E803">
        <v>4</v>
      </c>
      <c r="F803">
        <v>26988</v>
      </c>
      <c r="G803">
        <v>2830.55</v>
      </c>
      <c r="H803" t="str">
        <f>TEXT(Orders[[#This Row],[Order_Date]],"mmmm")</f>
        <v>May</v>
      </c>
      <c r="I803">
        <f>YEAR(Orders[[#This Row],[Order_Date]])</f>
        <v>2024</v>
      </c>
      <c r="J803" t="str">
        <f>"Q"&amp;ROUNDUP(MONTH(Orders[[#This Row],[Order_Date]])/3,0)</f>
        <v>Q2</v>
      </c>
      <c r="K803" s="2">
        <f>(Orders[[#This Row],[Profit]]/Orders[[#This Row],[Sales]])*100</f>
        <v>10.48817993182155</v>
      </c>
    </row>
    <row r="804" spans="1:11" x14ac:dyDescent="0.3">
      <c r="A804" t="s">
        <v>1048</v>
      </c>
      <c r="B804" s="1">
        <v>45328</v>
      </c>
      <c r="C804" t="s">
        <v>148</v>
      </c>
      <c r="D804" t="s">
        <v>229</v>
      </c>
      <c r="E804">
        <v>1</v>
      </c>
      <c r="F804">
        <v>8873</v>
      </c>
      <c r="G804">
        <v>1482.79</v>
      </c>
      <c r="H804" t="str">
        <f>TEXT(Orders[[#This Row],[Order_Date]],"mmmm")</f>
        <v>February</v>
      </c>
      <c r="I804">
        <f>YEAR(Orders[[#This Row],[Order_Date]])</f>
        <v>2024</v>
      </c>
      <c r="J804" t="str">
        <f>"Q"&amp;ROUNDUP(MONTH(Orders[[#This Row],[Order_Date]])/3,0)</f>
        <v>Q1</v>
      </c>
      <c r="K804" s="2">
        <f>(Orders[[#This Row],[Profit]]/Orders[[#This Row],[Sales]])*100</f>
        <v>16.711258875239491</v>
      </c>
    </row>
    <row r="805" spans="1:11" x14ac:dyDescent="0.3">
      <c r="A805" t="s">
        <v>1049</v>
      </c>
      <c r="B805" s="1">
        <v>45311</v>
      </c>
      <c r="C805" t="s">
        <v>198</v>
      </c>
      <c r="D805" t="s">
        <v>229</v>
      </c>
      <c r="E805">
        <v>4</v>
      </c>
      <c r="F805">
        <v>35492</v>
      </c>
      <c r="G805">
        <v>5051.4399999999996</v>
      </c>
      <c r="H805" t="str">
        <f>TEXT(Orders[[#This Row],[Order_Date]],"mmmm")</f>
        <v>January</v>
      </c>
      <c r="I805">
        <f>YEAR(Orders[[#This Row],[Order_Date]])</f>
        <v>2024</v>
      </c>
      <c r="J805" t="str">
        <f>"Q"&amp;ROUNDUP(MONTH(Orders[[#This Row],[Order_Date]])/3,0)</f>
        <v>Q1</v>
      </c>
      <c r="K805" s="2">
        <f>(Orders[[#This Row],[Profit]]/Orders[[#This Row],[Sales]])*100</f>
        <v>14.232615800743828</v>
      </c>
    </row>
    <row r="806" spans="1:11" x14ac:dyDescent="0.3">
      <c r="A806" t="s">
        <v>1050</v>
      </c>
      <c r="B806" s="1">
        <v>45393</v>
      </c>
      <c r="C806" t="s">
        <v>154</v>
      </c>
      <c r="D806" t="s">
        <v>283</v>
      </c>
      <c r="E806">
        <v>2</v>
      </c>
      <c r="F806">
        <v>108374</v>
      </c>
      <c r="G806">
        <v>26413.29</v>
      </c>
      <c r="H806" t="str">
        <f>TEXT(Orders[[#This Row],[Order_Date]],"mmmm")</f>
        <v>April</v>
      </c>
      <c r="I806">
        <f>YEAR(Orders[[#This Row],[Order_Date]])</f>
        <v>2024</v>
      </c>
      <c r="J806" t="str">
        <f>"Q"&amp;ROUNDUP(MONTH(Orders[[#This Row],[Order_Date]])/3,0)</f>
        <v>Q2</v>
      </c>
      <c r="K806" s="2">
        <f>(Orders[[#This Row],[Profit]]/Orders[[#This Row],[Sales]])*100</f>
        <v>24.37234945651171</v>
      </c>
    </row>
    <row r="807" spans="1:11" x14ac:dyDescent="0.3">
      <c r="A807" t="s">
        <v>1051</v>
      </c>
      <c r="B807" s="1">
        <v>45633</v>
      </c>
      <c r="C807" t="s">
        <v>62</v>
      </c>
      <c r="D807" t="s">
        <v>227</v>
      </c>
      <c r="E807">
        <v>2</v>
      </c>
      <c r="F807">
        <v>18788</v>
      </c>
      <c r="G807">
        <v>3196.23</v>
      </c>
      <c r="H807" t="str">
        <f>TEXT(Orders[[#This Row],[Order_Date]],"mmmm")</f>
        <v>December</v>
      </c>
      <c r="I807">
        <f>YEAR(Orders[[#This Row],[Order_Date]])</f>
        <v>2024</v>
      </c>
      <c r="J807" t="str">
        <f>"Q"&amp;ROUNDUP(MONTH(Orders[[#This Row],[Order_Date]])/3,0)</f>
        <v>Q4</v>
      </c>
      <c r="K807" s="2">
        <f>(Orders[[#This Row],[Profit]]/Orders[[#This Row],[Sales]])*100</f>
        <v>17.01208218011497</v>
      </c>
    </row>
    <row r="808" spans="1:11" x14ac:dyDescent="0.3">
      <c r="A808" t="s">
        <v>1052</v>
      </c>
      <c r="B808" s="1">
        <v>45605</v>
      </c>
      <c r="C808" t="s">
        <v>106</v>
      </c>
      <c r="D808" t="s">
        <v>279</v>
      </c>
      <c r="E808">
        <v>4</v>
      </c>
      <c r="F808">
        <v>24880</v>
      </c>
      <c r="G808">
        <v>5483.26</v>
      </c>
      <c r="H808" t="str">
        <f>TEXT(Orders[[#This Row],[Order_Date]],"mmmm")</f>
        <v>November</v>
      </c>
      <c r="I808">
        <f>YEAR(Orders[[#This Row],[Order_Date]])</f>
        <v>2024</v>
      </c>
      <c r="J808" t="str">
        <f>"Q"&amp;ROUNDUP(MONTH(Orders[[#This Row],[Order_Date]])/3,0)</f>
        <v>Q4</v>
      </c>
      <c r="K808" s="2">
        <f>(Orders[[#This Row],[Profit]]/Orders[[#This Row],[Sales]])*100</f>
        <v>22.038826366559487</v>
      </c>
    </row>
    <row r="809" spans="1:11" x14ac:dyDescent="0.3">
      <c r="A809" t="s">
        <v>1053</v>
      </c>
      <c r="B809" s="1">
        <v>45401</v>
      </c>
      <c r="C809" t="s">
        <v>166</v>
      </c>
      <c r="D809" t="s">
        <v>255</v>
      </c>
      <c r="E809">
        <v>2</v>
      </c>
      <c r="F809">
        <v>51216</v>
      </c>
      <c r="G809">
        <v>10708.38</v>
      </c>
      <c r="H809" t="str">
        <f>TEXT(Orders[[#This Row],[Order_Date]],"mmmm")</f>
        <v>April</v>
      </c>
      <c r="I809">
        <f>YEAR(Orders[[#This Row],[Order_Date]])</f>
        <v>2024</v>
      </c>
      <c r="J809" t="str">
        <f>"Q"&amp;ROUNDUP(MONTH(Orders[[#This Row],[Order_Date]])/3,0)</f>
        <v>Q2</v>
      </c>
      <c r="K809" s="2">
        <f>(Orders[[#This Row],[Profit]]/Orders[[#This Row],[Sales]])*100</f>
        <v>20.908270852858479</v>
      </c>
    </row>
    <row r="810" spans="1:11" x14ac:dyDescent="0.3">
      <c r="A810" t="s">
        <v>1054</v>
      </c>
      <c r="B810" s="1">
        <v>45310</v>
      </c>
      <c r="C810" t="s">
        <v>92</v>
      </c>
      <c r="D810" t="s">
        <v>239</v>
      </c>
      <c r="E810">
        <v>5</v>
      </c>
      <c r="F810">
        <v>125795</v>
      </c>
      <c r="G810">
        <v>31265.040000000001</v>
      </c>
      <c r="H810" t="str">
        <f>TEXT(Orders[[#This Row],[Order_Date]],"mmmm")</f>
        <v>January</v>
      </c>
      <c r="I810">
        <f>YEAR(Orders[[#This Row],[Order_Date]])</f>
        <v>2024</v>
      </c>
      <c r="J810" t="str">
        <f>"Q"&amp;ROUNDUP(MONTH(Orders[[#This Row],[Order_Date]])/3,0)</f>
        <v>Q1</v>
      </c>
      <c r="K810" s="2">
        <f>(Orders[[#This Row],[Profit]]/Orders[[#This Row],[Sales]])*100</f>
        <v>24.853960809253152</v>
      </c>
    </row>
    <row r="811" spans="1:11" x14ac:dyDescent="0.3">
      <c r="A811" t="s">
        <v>1055</v>
      </c>
      <c r="B811" s="1">
        <v>45625</v>
      </c>
      <c r="C811" t="s">
        <v>178</v>
      </c>
      <c r="D811" t="s">
        <v>233</v>
      </c>
      <c r="E811">
        <v>1</v>
      </c>
      <c r="F811">
        <v>55695</v>
      </c>
      <c r="G811">
        <v>11971.93</v>
      </c>
      <c r="H811" t="str">
        <f>TEXT(Orders[[#This Row],[Order_Date]],"mmmm")</f>
        <v>November</v>
      </c>
      <c r="I811">
        <f>YEAR(Orders[[#This Row],[Order_Date]])</f>
        <v>2024</v>
      </c>
      <c r="J811" t="str">
        <f>"Q"&amp;ROUNDUP(MONTH(Orders[[#This Row],[Order_Date]])/3,0)</f>
        <v>Q4</v>
      </c>
      <c r="K811" s="2">
        <f>(Orders[[#This Row],[Profit]]/Orders[[#This Row],[Sales]])*100</f>
        <v>21.495520244187091</v>
      </c>
    </row>
    <row r="812" spans="1:11" x14ac:dyDescent="0.3">
      <c r="A812" t="s">
        <v>1056</v>
      </c>
      <c r="B812" s="1">
        <v>45363</v>
      </c>
      <c r="C812" t="s">
        <v>64</v>
      </c>
      <c r="D812" t="s">
        <v>266</v>
      </c>
      <c r="E812">
        <v>5</v>
      </c>
      <c r="F812">
        <v>56175</v>
      </c>
      <c r="G812">
        <v>5262.24</v>
      </c>
      <c r="H812" t="str">
        <f>TEXT(Orders[[#This Row],[Order_Date]],"mmmm")</f>
        <v>March</v>
      </c>
      <c r="I812">
        <f>YEAR(Orders[[#This Row],[Order_Date]])</f>
        <v>2024</v>
      </c>
      <c r="J812" t="str">
        <f>"Q"&amp;ROUNDUP(MONTH(Orders[[#This Row],[Order_Date]])/3,0)</f>
        <v>Q1</v>
      </c>
      <c r="K812" s="2">
        <f>(Orders[[#This Row],[Profit]]/Orders[[#This Row],[Sales]])*100</f>
        <v>9.3675834445927908</v>
      </c>
    </row>
    <row r="813" spans="1:11" x14ac:dyDescent="0.3">
      <c r="A813" t="s">
        <v>1057</v>
      </c>
      <c r="B813" s="1">
        <v>45633</v>
      </c>
      <c r="C813" t="s">
        <v>158</v>
      </c>
      <c r="D813" t="s">
        <v>247</v>
      </c>
      <c r="E813">
        <v>2</v>
      </c>
      <c r="F813">
        <v>22312</v>
      </c>
      <c r="G813">
        <v>2997.44</v>
      </c>
      <c r="H813" t="str">
        <f>TEXT(Orders[[#This Row],[Order_Date]],"mmmm")</f>
        <v>December</v>
      </c>
      <c r="I813">
        <f>YEAR(Orders[[#This Row],[Order_Date]])</f>
        <v>2024</v>
      </c>
      <c r="J813" t="str">
        <f>"Q"&amp;ROUNDUP(MONTH(Orders[[#This Row],[Order_Date]])/3,0)</f>
        <v>Q4</v>
      </c>
      <c r="K813" s="2">
        <f>(Orders[[#This Row],[Profit]]/Orders[[#This Row],[Sales]])*100</f>
        <v>13.434205808533525</v>
      </c>
    </row>
    <row r="814" spans="1:11" x14ac:dyDescent="0.3">
      <c r="A814" t="s">
        <v>1058</v>
      </c>
      <c r="B814" s="1">
        <v>45389</v>
      </c>
      <c r="C814" t="s">
        <v>210</v>
      </c>
      <c r="D814" t="s">
        <v>253</v>
      </c>
      <c r="E814">
        <v>4</v>
      </c>
      <c r="F814">
        <v>24100</v>
      </c>
      <c r="G814">
        <v>5934</v>
      </c>
      <c r="H814" t="str">
        <f>TEXT(Orders[[#This Row],[Order_Date]],"mmmm")</f>
        <v>April</v>
      </c>
      <c r="I814">
        <f>YEAR(Orders[[#This Row],[Order_Date]])</f>
        <v>2024</v>
      </c>
      <c r="J814" t="str">
        <f>"Q"&amp;ROUNDUP(MONTH(Orders[[#This Row],[Order_Date]])/3,0)</f>
        <v>Q2</v>
      </c>
      <c r="K814" s="2">
        <f>(Orders[[#This Row],[Profit]]/Orders[[#This Row],[Sales]])*100</f>
        <v>24.622406639004151</v>
      </c>
    </row>
    <row r="815" spans="1:11" x14ac:dyDescent="0.3">
      <c r="A815" t="s">
        <v>1059</v>
      </c>
      <c r="B815" s="1">
        <v>45479</v>
      </c>
      <c r="C815" t="s">
        <v>122</v>
      </c>
      <c r="D815" t="s">
        <v>266</v>
      </c>
      <c r="E815">
        <v>1</v>
      </c>
      <c r="F815">
        <v>11235</v>
      </c>
      <c r="G815">
        <v>2538.5500000000002</v>
      </c>
      <c r="H815" t="str">
        <f>TEXT(Orders[[#This Row],[Order_Date]],"mmmm")</f>
        <v>July</v>
      </c>
      <c r="I815">
        <f>YEAR(Orders[[#This Row],[Order_Date]])</f>
        <v>2024</v>
      </c>
      <c r="J815" t="str">
        <f>"Q"&amp;ROUNDUP(MONTH(Orders[[#This Row],[Order_Date]])/3,0)</f>
        <v>Q3</v>
      </c>
      <c r="K815" s="2">
        <f>(Orders[[#This Row],[Profit]]/Orders[[#This Row],[Sales]])*100</f>
        <v>22.595015576323991</v>
      </c>
    </row>
    <row r="816" spans="1:11" x14ac:dyDescent="0.3">
      <c r="A816" t="s">
        <v>1060</v>
      </c>
      <c r="B816" s="1">
        <v>45483</v>
      </c>
      <c r="C816" t="s">
        <v>13</v>
      </c>
      <c r="D816" t="s">
        <v>279</v>
      </c>
      <c r="E816">
        <v>2</v>
      </c>
      <c r="F816">
        <v>12440</v>
      </c>
      <c r="G816">
        <v>2231.17</v>
      </c>
      <c r="H816" t="str">
        <f>TEXT(Orders[[#This Row],[Order_Date]],"mmmm")</f>
        <v>July</v>
      </c>
      <c r="I816">
        <f>YEAR(Orders[[#This Row],[Order_Date]])</f>
        <v>2024</v>
      </c>
      <c r="J816" t="str">
        <f>"Q"&amp;ROUNDUP(MONTH(Orders[[#This Row],[Order_Date]])/3,0)</f>
        <v>Q3</v>
      </c>
      <c r="K816" s="2">
        <f>(Orders[[#This Row],[Profit]]/Orders[[#This Row],[Sales]])*100</f>
        <v>17.935450160771705</v>
      </c>
    </row>
    <row r="817" spans="1:11" x14ac:dyDescent="0.3">
      <c r="A817" t="s">
        <v>1061</v>
      </c>
      <c r="B817" s="1">
        <v>45499</v>
      </c>
      <c r="C817" t="s">
        <v>180</v>
      </c>
      <c r="D817" t="s">
        <v>344</v>
      </c>
      <c r="E817">
        <v>1</v>
      </c>
      <c r="F817">
        <v>9101</v>
      </c>
      <c r="G817">
        <v>1417.06</v>
      </c>
      <c r="H817" t="str">
        <f>TEXT(Orders[[#This Row],[Order_Date]],"mmmm")</f>
        <v>July</v>
      </c>
      <c r="I817">
        <f>YEAR(Orders[[#This Row],[Order_Date]])</f>
        <v>2024</v>
      </c>
      <c r="J817" t="str">
        <f>"Q"&amp;ROUNDUP(MONTH(Orders[[#This Row],[Order_Date]])/3,0)</f>
        <v>Q3</v>
      </c>
      <c r="K817" s="2">
        <f>(Orders[[#This Row],[Profit]]/Orders[[#This Row],[Sales]])*100</f>
        <v>15.570376881661355</v>
      </c>
    </row>
    <row r="818" spans="1:11" x14ac:dyDescent="0.3">
      <c r="A818" t="s">
        <v>1062</v>
      </c>
      <c r="B818" s="1">
        <v>45625</v>
      </c>
      <c r="C818" t="s">
        <v>98</v>
      </c>
      <c r="D818" t="s">
        <v>257</v>
      </c>
      <c r="E818">
        <v>3</v>
      </c>
      <c r="F818">
        <v>20241</v>
      </c>
      <c r="G818">
        <v>4147.93</v>
      </c>
      <c r="H818" t="str">
        <f>TEXT(Orders[[#This Row],[Order_Date]],"mmmm")</f>
        <v>November</v>
      </c>
      <c r="I818">
        <f>YEAR(Orders[[#This Row],[Order_Date]])</f>
        <v>2024</v>
      </c>
      <c r="J818" t="str">
        <f>"Q"&amp;ROUNDUP(MONTH(Orders[[#This Row],[Order_Date]])/3,0)</f>
        <v>Q4</v>
      </c>
      <c r="K818" s="2">
        <f>(Orders[[#This Row],[Profit]]/Orders[[#This Row],[Sales]])*100</f>
        <v>20.49271281063189</v>
      </c>
    </row>
    <row r="819" spans="1:11" x14ac:dyDescent="0.3">
      <c r="A819" t="s">
        <v>1063</v>
      </c>
      <c r="B819" s="1">
        <v>45312</v>
      </c>
      <c r="C819" t="s">
        <v>76</v>
      </c>
      <c r="D819" t="s">
        <v>233</v>
      </c>
      <c r="E819">
        <v>3</v>
      </c>
      <c r="F819">
        <v>167085</v>
      </c>
      <c r="G819">
        <v>19383.689999999999</v>
      </c>
      <c r="H819" t="str">
        <f>TEXT(Orders[[#This Row],[Order_Date]],"mmmm")</f>
        <v>January</v>
      </c>
      <c r="I819">
        <f>YEAR(Orders[[#This Row],[Order_Date]])</f>
        <v>2024</v>
      </c>
      <c r="J819" t="str">
        <f>"Q"&amp;ROUNDUP(MONTH(Orders[[#This Row],[Order_Date]])/3,0)</f>
        <v>Q1</v>
      </c>
      <c r="K819" s="2">
        <f>(Orders[[#This Row],[Profit]]/Orders[[#This Row],[Sales]])*100</f>
        <v>11.601095250920189</v>
      </c>
    </row>
    <row r="820" spans="1:11" x14ac:dyDescent="0.3">
      <c r="A820" t="s">
        <v>1064</v>
      </c>
      <c r="B820" s="1">
        <v>45458</v>
      </c>
      <c r="C820" t="s">
        <v>29</v>
      </c>
      <c r="D820" t="s">
        <v>344</v>
      </c>
      <c r="E820">
        <v>2</v>
      </c>
      <c r="F820">
        <v>18202</v>
      </c>
      <c r="G820">
        <v>3316.16</v>
      </c>
      <c r="H820" t="str">
        <f>TEXT(Orders[[#This Row],[Order_Date]],"mmmm")</f>
        <v>June</v>
      </c>
      <c r="I820">
        <f>YEAR(Orders[[#This Row],[Order_Date]])</f>
        <v>2024</v>
      </c>
      <c r="J820" t="str">
        <f>"Q"&amp;ROUNDUP(MONTH(Orders[[#This Row],[Order_Date]])/3,0)</f>
        <v>Q2</v>
      </c>
      <c r="K820" s="2">
        <f>(Orders[[#This Row],[Profit]]/Orders[[#This Row],[Sales]])*100</f>
        <v>18.218657290407648</v>
      </c>
    </row>
    <row r="821" spans="1:11" x14ac:dyDescent="0.3">
      <c r="A821" t="s">
        <v>1065</v>
      </c>
      <c r="B821" s="1">
        <v>45561</v>
      </c>
      <c r="C821" t="s">
        <v>202</v>
      </c>
      <c r="D821" t="s">
        <v>247</v>
      </c>
      <c r="E821">
        <v>3</v>
      </c>
      <c r="F821">
        <v>33468</v>
      </c>
      <c r="G821">
        <v>7215.62</v>
      </c>
      <c r="H821" t="str">
        <f>TEXT(Orders[[#This Row],[Order_Date]],"mmmm")</f>
        <v>September</v>
      </c>
      <c r="I821">
        <f>YEAR(Orders[[#This Row],[Order_Date]])</f>
        <v>2024</v>
      </c>
      <c r="J821" t="str">
        <f>"Q"&amp;ROUNDUP(MONTH(Orders[[#This Row],[Order_Date]])/3,0)</f>
        <v>Q3</v>
      </c>
      <c r="K821" s="2">
        <f>(Orders[[#This Row],[Profit]]/Orders[[#This Row],[Sales]])*100</f>
        <v>21.559758575355563</v>
      </c>
    </row>
    <row r="822" spans="1:11" x14ac:dyDescent="0.3">
      <c r="A822" t="s">
        <v>1066</v>
      </c>
      <c r="B822" s="1">
        <v>45298</v>
      </c>
      <c r="C822" t="s">
        <v>88</v>
      </c>
      <c r="D822" t="s">
        <v>237</v>
      </c>
      <c r="E822">
        <v>2</v>
      </c>
      <c r="F822">
        <v>17252</v>
      </c>
      <c r="G822">
        <v>3967.06</v>
      </c>
      <c r="H822" t="str">
        <f>TEXT(Orders[[#This Row],[Order_Date]],"mmmm")</f>
        <v>January</v>
      </c>
      <c r="I822">
        <f>YEAR(Orders[[#This Row],[Order_Date]])</f>
        <v>2024</v>
      </c>
      <c r="J822" t="str">
        <f>"Q"&amp;ROUNDUP(MONTH(Orders[[#This Row],[Order_Date]])/3,0)</f>
        <v>Q1</v>
      </c>
      <c r="K822" s="2">
        <f>(Orders[[#This Row],[Profit]]/Orders[[#This Row],[Sales]])*100</f>
        <v>22.994783213540458</v>
      </c>
    </row>
    <row r="823" spans="1:11" x14ac:dyDescent="0.3">
      <c r="A823" t="s">
        <v>1067</v>
      </c>
      <c r="B823" s="1">
        <v>45547</v>
      </c>
      <c r="C823" t="s">
        <v>51</v>
      </c>
      <c r="D823" t="s">
        <v>283</v>
      </c>
      <c r="E823">
        <v>3</v>
      </c>
      <c r="F823">
        <v>162561</v>
      </c>
      <c r="G823">
        <v>20465.64</v>
      </c>
      <c r="H823" t="str">
        <f>TEXT(Orders[[#This Row],[Order_Date]],"mmmm")</f>
        <v>September</v>
      </c>
      <c r="I823">
        <f>YEAR(Orders[[#This Row],[Order_Date]])</f>
        <v>2024</v>
      </c>
      <c r="J823" t="str">
        <f>"Q"&amp;ROUNDUP(MONTH(Orders[[#This Row],[Order_Date]])/3,0)</f>
        <v>Q3</v>
      </c>
      <c r="K823" s="2">
        <f>(Orders[[#This Row],[Profit]]/Orders[[#This Row],[Sales]])*100</f>
        <v>12.58951409009541</v>
      </c>
    </row>
    <row r="824" spans="1:11" x14ac:dyDescent="0.3">
      <c r="A824" t="s">
        <v>1068</v>
      </c>
      <c r="B824" s="1">
        <v>45506</v>
      </c>
      <c r="C824" t="s">
        <v>24</v>
      </c>
      <c r="D824" t="s">
        <v>229</v>
      </c>
      <c r="E824">
        <v>1</v>
      </c>
      <c r="F824">
        <v>8873</v>
      </c>
      <c r="G824">
        <v>1170.28</v>
      </c>
      <c r="H824" t="str">
        <f>TEXT(Orders[[#This Row],[Order_Date]],"mmmm")</f>
        <v>August</v>
      </c>
      <c r="I824">
        <f>YEAR(Orders[[#This Row],[Order_Date]])</f>
        <v>2024</v>
      </c>
      <c r="J824" t="str">
        <f>"Q"&amp;ROUNDUP(MONTH(Orders[[#This Row],[Order_Date]])/3,0)</f>
        <v>Q3</v>
      </c>
      <c r="K824" s="2">
        <f>(Orders[[#This Row],[Profit]]/Orders[[#This Row],[Sales]])*100</f>
        <v>13.189225741012059</v>
      </c>
    </row>
    <row r="825" spans="1:11" x14ac:dyDescent="0.3">
      <c r="A825" t="s">
        <v>1069</v>
      </c>
      <c r="B825" s="1">
        <v>45515</v>
      </c>
      <c r="C825" t="s">
        <v>212</v>
      </c>
      <c r="D825" t="s">
        <v>227</v>
      </c>
      <c r="E825">
        <v>2</v>
      </c>
      <c r="F825">
        <v>18788</v>
      </c>
      <c r="G825">
        <v>3157.33</v>
      </c>
      <c r="H825" t="str">
        <f>TEXT(Orders[[#This Row],[Order_Date]],"mmmm")</f>
        <v>August</v>
      </c>
      <c r="I825">
        <f>YEAR(Orders[[#This Row],[Order_Date]])</f>
        <v>2024</v>
      </c>
      <c r="J825" t="str">
        <f>"Q"&amp;ROUNDUP(MONTH(Orders[[#This Row],[Order_Date]])/3,0)</f>
        <v>Q3</v>
      </c>
      <c r="K825" s="2">
        <f>(Orders[[#This Row],[Profit]]/Orders[[#This Row],[Sales]])*100</f>
        <v>16.805035128805621</v>
      </c>
    </row>
    <row r="826" spans="1:11" x14ac:dyDescent="0.3">
      <c r="A826" t="s">
        <v>1070</v>
      </c>
      <c r="B826" s="1">
        <v>45369</v>
      </c>
      <c r="C826" t="s">
        <v>164</v>
      </c>
      <c r="D826" t="s">
        <v>231</v>
      </c>
      <c r="E826">
        <v>1</v>
      </c>
      <c r="F826">
        <v>54937</v>
      </c>
      <c r="G826">
        <v>4449.3900000000003</v>
      </c>
      <c r="H826" t="str">
        <f>TEXT(Orders[[#This Row],[Order_Date]],"mmmm")</f>
        <v>March</v>
      </c>
      <c r="I826">
        <f>YEAR(Orders[[#This Row],[Order_Date]])</f>
        <v>2024</v>
      </c>
      <c r="J826" t="str">
        <f>"Q"&amp;ROUNDUP(MONTH(Orders[[#This Row],[Order_Date]])/3,0)</f>
        <v>Q1</v>
      </c>
      <c r="K826" s="2">
        <f>(Orders[[#This Row],[Profit]]/Orders[[#This Row],[Sales]])*100</f>
        <v>8.0990771247064828</v>
      </c>
    </row>
    <row r="827" spans="1:11" x14ac:dyDescent="0.3">
      <c r="A827" t="s">
        <v>1071</v>
      </c>
      <c r="B827" s="1">
        <v>45471</v>
      </c>
      <c r="C827" t="s">
        <v>218</v>
      </c>
      <c r="D827" t="s">
        <v>316</v>
      </c>
      <c r="E827">
        <v>2</v>
      </c>
      <c r="F827">
        <v>108768</v>
      </c>
      <c r="G827">
        <v>27174.39</v>
      </c>
      <c r="H827" t="str">
        <f>TEXT(Orders[[#This Row],[Order_Date]],"mmmm")</f>
        <v>June</v>
      </c>
      <c r="I827">
        <f>YEAR(Orders[[#This Row],[Order_Date]])</f>
        <v>2024</v>
      </c>
      <c r="J827" t="str">
        <f>"Q"&amp;ROUNDUP(MONTH(Orders[[#This Row],[Order_Date]])/3,0)</f>
        <v>Q2</v>
      </c>
      <c r="K827" s="2">
        <f>(Orders[[#This Row],[Profit]]/Orders[[#This Row],[Sales]])*100</f>
        <v>24.983809576345983</v>
      </c>
    </row>
    <row r="828" spans="1:11" x14ac:dyDescent="0.3">
      <c r="A828" t="s">
        <v>1072</v>
      </c>
      <c r="B828" s="1">
        <v>45573</v>
      </c>
      <c r="C828" t="s">
        <v>37</v>
      </c>
      <c r="D828" t="s">
        <v>235</v>
      </c>
      <c r="E828">
        <v>2</v>
      </c>
      <c r="F828">
        <v>22684</v>
      </c>
      <c r="G828">
        <v>3962.35</v>
      </c>
      <c r="H828" t="str">
        <f>TEXT(Orders[[#This Row],[Order_Date]],"mmmm")</f>
        <v>October</v>
      </c>
      <c r="I828">
        <f>YEAR(Orders[[#This Row],[Order_Date]])</f>
        <v>2024</v>
      </c>
      <c r="J828" t="str">
        <f>"Q"&amp;ROUNDUP(MONTH(Orders[[#This Row],[Order_Date]])/3,0)</f>
        <v>Q4</v>
      </c>
      <c r="K828" s="2">
        <f>(Orders[[#This Row],[Profit]]/Orders[[#This Row],[Sales]])*100</f>
        <v>17.467598307176864</v>
      </c>
    </row>
    <row r="829" spans="1:11" x14ac:dyDescent="0.3">
      <c r="A829" t="s">
        <v>1073</v>
      </c>
      <c r="B829" s="1">
        <v>45647</v>
      </c>
      <c r="C829" t="s">
        <v>58</v>
      </c>
      <c r="D829" t="s">
        <v>260</v>
      </c>
      <c r="E829">
        <v>4</v>
      </c>
      <c r="F829">
        <v>223800</v>
      </c>
      <c r="G829">
        <v>23186.68</v>
      </c>
      <c r="H829" t="str">
        <f>TEXT(Orders[[#This Row],[Order_Date]],"mmmm")</f>
        <v>December</v>
      </c>
      <c r="I829">
        <f>YEAR(Orders[[#This Row],[Order_Date]])</f>
        <v>2024</v>
      </c>
      <c r="J829" t="str">
        <f>"Q"&amp;ROUNDUP(MONTH(Orders[[#This Row],[Order_Date]])/3,0)</f>
        <v>Q4</v>
      </c>
      <c r="K829" s="2">
        <f>(Orders[[#This Row],[Profit]]/Orders[[#This Row],[Sales]])*100</f>
        <v>10.360446827524576</v>
      </c>
    </row>
    <row r="830" spans="1:11" x14ac:dyDescent="0.3">
      <c r="A830" t="s">
        <v>1074</v>
      </c>
      <c r="B830" s="1">
        <v>45603</v>
      </c>
      <c r="C830" t="s">
        <v>206</v>
      </c>
      <c r="D830" t="s">
        <v>233</v>
      </c>
      <c r="E830">
        <v>2</v>
      </c>
      <c r="F830">
        <v>111390</v>
      </c>
      <c r="G830">
        <v>11363.2</v>
      </c>
      <c r="H830" t="str">
        <f>TEXT(Orders[[#This Row],[Order_Date]],"mmmm")</f>
        <v>November</v>
      </c>
      <c r="I830">
        <f>YEAR(Orders[[#This Row],[Order_Date]])</f>
        <v>2024</v>
      </c>
      <c r="J830" t="str">
        <f>"Q"&amp;ROUNDUP(MONTH(Orders[[#This Row],[Order_Date]])/3,0)</f>
        <v>Q4</v>
      </c>
      <c r="K830" s="2">
        <f>(Orders[[#This Row],[Profit]]/Orders[[#This Row],[Sales]])*100</f>
        <v>10.201274800251369</v>
      </c>
    </row>
    <row r="831" spans="1:11" x14ac:dyDescent="0.3">
      <c r="A831" t="s">
        <v>1075</v>
      </c>
      <c r="B831" s="1">
        <v>45597</v>
      </c>
      <c r="C831" t="s">
        <v>196</v>
      </c>
      <c r="D831" t="s">
        <v>239</v>
      </c>
      <c r="E831">
        <v>2</v>
      </c>
      <c r="F831">
        <v>50318</v>
      </c>
      <c r="G831">
        <v>10657.5</v>
      </c>
      <c r="H831" t="str">
        <f>TEXT(Orders[[#This Row],[Order_Date]],"mmmm")</f>
        <v>November</v>
      </c>
      <c r="I831">
        <f>YEAR(Orders[[#This Row],[Order_Date]])</f>
        <v>2024</v>
      </c>
      <c r="J831" t="str">
        <f>"Q"&amp;ROUNDUP(MONTH(Orders[[#This Row],[Order_Date]])/3,0)</f>
        <v>Q4</v>
      </c>
      <c r="K831" s="2">
        <f>(Orders[[#This Row],[Profit]]/Orders[[#This Row],[Sales]])*100</f>
        <v>21.180293334393259</v>
      </c>
    </row>
    <row r="832" spans="1:11" x14ac:dyDescent="0.3">
      <c r="A832" t="s">
        <v>1076</v>
      </c>
      <c r="B832" s="1">
        <v>45366</v>
      </c>
      <c r="C832" t="s">
        <v>90</v>
      </c>
      <c r="D832" t="s">
        <v>231</v>
      </c>
      <c r="E832">
        <v>3</v>
      </c>
      <c r="F832">
        <v>164811</v>
      </c>
      <c r="G832">
        <v>13392.66</v>
      </c>
      <c r="H832" t="str">
        <f>TEXT(Orders[[#This Row],[Order_Date]],"mmmm")</f>
        <v>March</v>
      </c>
      <c r="I832">
        <f>YEAR(Orders[[#This Row],[Order_Date]])</f>
        <v>2024</v>
      </c>
      <c r="J832" t="str">
        <f>"Q"&amp;ROUNDUP(MONTH(Orders[[#This Row],[Order_Date]])/3,0)</f>
        <v>Q1</v>
      </c>
      <c r="K832" s="2">
        <f>(Orders[[#This Row],[Profit]]/Orders[[#This Row],[Sales]])*100</f>
        <v>8.1260716821085968</v>
      </c>
    </row>
    <row r="833" spans="1:11" x14ac:dyDescent="0.3">
      <c r="A833" t="s">
        <v>1077</v>
      </c>
      <c r="B833" s="1">
        <v>45513</v>
      </c>
      <c r="C833" t="s">
        <v>198</v>
      </c>
      <c r="D833" t="s">
        <v>344</v>
      </c>
      <c r="E833">
        <v>1</v>
      </c>
      <c r="F833">
        <v>9101</v>
      </c>
      <c r="G833">
        <v>1963.17</v>
      </c>
      <c r="H833" t="str">
        <f>TEXT(Orders[[#This Row],[Order_Date]],"mmmm")</f>
        <v>August</v>
      </c>
      <c r="I833">
        <f>YEAR(Orders[[#This Row],[Order_Date]])</f>
        <v>2024</v>
      </c>
      <c r="J833" t="str">
        <f>"Q"&amp;ROUNDUP(MONTH(Orders[[#This Row],[Order_Date]])/3,0)</f>
        <v>Q3</v>
      </c>
      <c r="K833" s="2">
        <f>(Orders[[#This Row],[Profit]]/Orders[[#This Row],[Sales]])*100</f>
        <v>21.57092627183826</v>
      </c>
    </row>
    <row r="834" spans="1:11" x14ac:dyDescent="0.3">
      <c r="A834" t="s">
        <v>1078</v>
      </c>
      <c r="B834" s="1">
        <v>45492</v>
      </c>
      <c r="C834" t="s">
        <v>202</v>
      </c>
      <c r="D834" t="s">
        <v>229</v>
      </c>
      <c r="E834">
        <v>3</v>
      </c>
      <c r="F834">
        <v>26619</v>
      </c>
      <c r="G834">
        <v>5227.5600000000004</v>
      </c>
      <c r="H834" t="str">
        <f>TEXT(Orders[[#This Row],[Order_Date]],"mmmm")</f>
        <v>July</v>
      </c>
      <c r="I834">
        <f>YEAR(Orders[[#This Row],[Order_Date]])</f>
        <v>2024</v>
      </c>
      <c r="J834" t="str">
        <f>"Q"&amp;ROUNDUP(MONTH(Orders[[#This Row],[Order_Date]])/3,0)</f>
        <v>Q3</v>
      </c>
      <c r="K834" s="2">
        <f>(Orders[[#This Row],[Profit]]/Orders[[#This Row],[Sales]])*100</f>
        <v>19.638453736053197</v>
      </c>
    </row>
    <row r="835" spans="1:11" x14ac:dyDescent="0.3">
      <c r="A835" t="s">
        <v>1079</v>
      </c>
      <c r="B835" s="1">
        <v>45535</v>
      </c>
      <c r="C835" t="s">
        <v>128</v>
      </c>
      <c r="D835" t="s">
        <v>253</v>
      </c>
      <c r="E835">
        <v>4</v>
      </c>
      <c r="F835">
        <v>24100</v>
      </c>
      <c r="G835">
        <v>3361.2</v>
      </c>
      <c r="H835" t="str">
        <f>TEXT(Orders[[#This Row],[Order_Date]],"mmmm")</f>
        <v>August</v>
      </c>
      <c r="I835">
        <f>YEAR(Orders[[#This Row],[Order_Date]])</f>
        <v>2024</v>
      </c>
      <c r="J835" t="str">
        <f>"Q"&amp;ROUNDUP(MONTH(Orders[[#This Row],[Order_Date]])/3,0)</f>
        <v>Q3</v>
      </c>
      <c r="K835" s="2">
        <f>(Orders[[#This Row],[Profit]]/Orders[[#This Row],[Sales]])*100</f>
        <v>13.946887966804978</v>
      </c>
    </row>
    <row r="836" spans="1:11" x14ac:dyDescent="0.3">
      <c r="A836" t="s">
        <v>1080</v>
      </c>
      <c r="B836" s="1">
        <v>45647</v>
      </c>
      <c r="C836" t="s">
        <v>66</v>
      </c>
      <c r="D836" t="s">
        <v>231</v>
      </c>
      <c r="E836">
        <v>1</v>
      </c>
      <c r="F836">
        <v>54937</v>
      </c>
      <c r="G836">
        <v>7304.2</v>
      </c>
      <c r="H836" t="str">
        <f>TEXT(Orders[[#This Row],[Order_Date]],"mmmm")</f>
        <v>December</v>
      </c>
      <c r="I836">
        <f>YEAR(Orders[[#This Row],[Order_Date]])</f>
        <v>2024</v>
      </c>
      <c r="J836" t="str">
        <f>"Q"&amp;ROUNDUP(MONTH(Orders[[#This Row],[Order_Date]])/3,0)</f>
        <v>Q4</v>
      </c>
      <c r="K836" s="2">
        <f>(Orders[[#This Row],[Profit]]/Orders[[#This Row],[Sales]])*100</f>
        <v>13.295593133953437</v>
      </c>
    </row>
    <row r="837" spans="1:11" x14ac:dyDescent="0.3">
      <c r="A837" t="s">
        <v>1081</v>
      </c>
      <c r="B837" s="1">
        <v>45332</v>
      </c>
      <c r="C837" t="s">
        <v>29</v>
      </c>
      <c r="D837" t="s">
        <v>316</v>
      </c>
      <c r="E837">
        <v>1</v>
      </c>
      <c r="F837">
        <v>54384</v>
      </c>
      <c r="G837">
        <v>11598.26</v>
      </c>
      <c r="H837" t="str">
        <f>TEXT(Orders[[#This Row],[Order_Date]],"mmmm")</f>
        <v>February</v>
      </c>
      <c r="I837">
        <f>YEAR(Orders[[#This Row],[Order_Date]])</f>
        <v>2024</v>
      </c>
      <c r="J837" t="str">
        <f>"Q"&amp;ROUNDUP(MONTH(Orders[[#This Row],[Order_Date]])/3,0)</f>
        <v>Q1</v>
      </c>
      <c r="K837" s="2">
        <f>(Orders[[#This Row],[Profit]]/Orders[[#This Row],[Sales]])*100</f>
        <v>21.32660341276846</v>
      </c>
    </row>
    <row r="838" spans="1:11" x14ac:dyDescent="0.3">
      <c r="A838" t="s">
        <v>1082</v>
      </c>
      <c r="B838" s="1">
        <v>45618</v>
      </c>
      <c r="C838" t="s">
        <v>172</v>
      </c>
      <c r="D838" t="s">
        <v>266</v>
      </c>
      <c r="E838">
        <v>1</v>
      </c>
      <c r="F838">
        <v>11235</v>
      </c>
      <c r="G838">
        <v>2763.73</v>
      </c>
      <c r="H838" t="str">
        <f>TEXT(Orders[[#This Row],[Order_Date]],"mmmm")</f>
        <v>November</v>
      </c>
      <c r="I838">
        <f>YEAR(Orders[[#This Row],[Order_Date]])</f>
        <v>2024</v>
      </c>
      <c r="J838" t="str">
        <f>"Q"&amp;ROUNDUP(MONTH(Orders[[#This Row],[Order_Date]])/3,0)</f>
        <v>Q4</v>
      </c>
      <c r="K838" s="2">
        <f>(Orders[[#This Row],[Profit]]/Orders[[#This Row],[Sales]])*100</f>
        <v>24.599287939474856</v>
      </c>
    </row>
    <row r="839" spans="1:11" x14ac:dyDescent="0.3">
      <c r="A839" t="s">
        <v>1083</v>
      </c>
      <c r="B839" s="1">
        <v>45607</v>
      </c>
      <c r="C839" t="s">
        <v>82</v>
      </c>
      <c r="D839" t="s">
        <v>260</v>
      </c>
      <c r="E839">
        <v>4</v>
      </c>
      <c r="F839">
        <v>223800</v>
      </c>
      <c r="G839">
        <v>48520.15</v>
      </c>
      <c r="H839" t="str">
        <f>TEXT(Orders[[#This Row],[Order_Date]],"mmmm")</f>
        <v>November</v>
      </c>
      <c r="I839">
        <f>YEAR(Orders[[#This Row],[Order_Date]])</f>
        <v>2024</v>
      </c>
      <c r="J839" t="str">
        <f>"Q"&amp;ROUNDUP(MONTH(Orders[[#This Row],[Order_Date]])/3,0)</f>
        <v>Q4</v>
      </c>
      <c r="K839" s="2">
        <f>(Orders[[#This Row],[Profit]]/Orders[[#This Row],[Sales]])*100</f>
        <v>21.680138516532619</v>
      </c>
    </row>
    <row r="840" spans="1:11" x14ac:dyDescent="0.3">
      <c r="A840" t="s">
        <v>1084</v>
      </c>
      <c r="B840" s="1">
        <v>45608</v>
      </c>
      <c r="C840" t="s">
        <v>118</v>
      </c>
      <c r="D840" t="s">
        <v>227</v>
      </c>
      <c r="E840">
        <v>5</v>
      </c>
      <c r="F840">
        <v>46970</v>
      </c>
      <c r="G840">
        <v>10561.79</v>
      </c>
      <c r="H840" t="str">
        <f>TEXT(Orders[[#This Row],[Order_Date]],"mmmm")</f>
        <v>November</v>
      </c>
      <c r="I840">
        <f>YEAR(Orders[[#This Row],[Order_Date]])</f>
        <v>2024</v>
      </c>
      <c r="J840" t="str">
        <f>"Q"&amp;ROUNDUP(MONTH(Orders[[#This Row],[Order_Date]])/3,0)</f>
        <v>Q4</v>
      </c>
      <c r="K840" s="2">
        <f>(Orders[[#This Row],[Profit]]/Orders[[#This Row],[Sales]])*100</f>
        <v>22.486246540344904</v>
      </c>
    </row>
    <row r="841" spans="1:11" x14ac:dyDescent="0.3">
      <c r="A841" t="s">
        <v>1085</v>
      </c>
      <c r="B841" s="1">
        <v>45461</v>
      </c>
      <c r="C841" t="s">
        <v>90</v>
      </c>
      <c r="D841" t="s">
        <v>257</v>
      </c>
      <c r="E841">
        <v>2</v>
      </c>
      <c r="F841">
        <v>13494</v>
      </c>
      <c r="G841">
        <v>1450.05</v>
      </c>
      <c r="H841" t="str">
        <f>TEXT(Orders[[#This Row],[Order_Date]],"mmmm")</f>
        <v>June</v>
      </c>
      <c r="I841">
        <f>YEAR(Orders[[#This Row],[Order_Date]])</f>
        <v>2024</v>
      </c>
      <c r="J841" t="str">
        <f>"Q"&amp;ROUNDUP(MONTH(Orders[[#This Row],[Order_Date]])/3,0)</f>
        <v>Q2</v>
      </c>
      <c r="K841" s="2">
        <f>(Orders[[#This Row],[Profit]]/Orders[[#This Row],[Sales]])*100</f>
        <v>10.745887060915962</v>
      </c>
    </row>
    <row r="842" spans="1:11" x14ac:dyDescent="0.3">
      <c r="A842" t="s">
        <v>1086</v>
      </c>
      <c r="B842" s="1">
        <v>45576</v>
      </c>
      <c r="C842" t="s">
        <v>108</v>
      </c>
      <c r="D842" t="s">
        <v>237</v>
      </c>
      <c r="E842">
        <v>1</v>
      </c>
      <c r="F842">
        <v>8626</v>
      </c>
      <c r="G842">
        <v>2057.15</v>
      </c>
      <c r="H842" t="str">
        <f>TEXT(Orders[[#This Row],[Order_Date]],"mmmm")</f>
        <v>October</v>
      </c>
      <c r="I842">
        <f>YEAR(Orders[[#This Row],[Order_Date]])</f>
        <v>2024</v>
      </c>
      <c r="J842" t="str">
        <f>"Q"&amp;ROUNDUP(MONTH(Orders[[#This Row],[Order_Date]])/3,0)</f>
        <v>Q4</v>
      </c>
      <c r="K842" s="2">
        <f>(Orders[[#This Row],[Profit]]/Orders[[#This Row],[Sales]])*100</f>
        <v>23.848249478321353</v>
      </c>
    </row>
    <row r="843" spans="1:11" x14ac:dyDescent="0.3">
      <c r="A843" t="s">
        <v>1087</v>
      </c>
      <c r="B843" s="1">
        <v>45566</v>
      </c>
      <c r="C843" t="s">
        <v>78</v>
      </c>
      <c r="D843" t="s">
        <v>263</v>
      </c>
      <c r="E843">
        <v>3</v>
      </c>
      <c r="F843">
        <v>21465</v>
      </c>
      <c r="G843">
        <v>4619.03</v>
      </c>
      <c r="H843" t="str">
        <f>TEXT(Orders[[#This Row],[Order_Date]],"mmmm")</f>
        <v>October</v>
      </c>
      <c r="I843">
        <f>YEAR(Orders[[#This Row],[Order_Date]])</f>
        <v>2024</v>
      </c>
      <c r="J843" t="str">
        <f>"Q"&amp;ROUNDUP(MONTH(Orders[[#This Row],[Order_Date]])/3,0)</f>
        <v>Q4</v>
      </c>
      <c r="K843" s="2">
        <f>(Orders[[#This Row],[Profit]]/Orders[[#This Row],[Sales]])*100</f>
        <v>21.518891218262286</v>
      </c>
    </row>
    <row r="844" spans="1:11" x14ac:dyDescent="0.3">
      <c r="A844" t="s">
        <v>1088</v>
      </c>
      <c r="B844" s="1">
        <v>45376</v>
      </c>
      <c r="C844" t="s">
        <v>134</v>
      </c>
      <c r="D844" t="s">
        <v>237</v>
      </c>
      <c r="E844">
        <v>4</v>
      </c>
      <c r="F844">
        <v>34504</v>
      </c>
      <c r="G844">
        <v>6113.3</v>
      </c>
      <c r="H844" t="str">
        <f>TEXT(Orders[[#This Row],[Order_Date]],"mmmm")</f>
        <v>March</v>
      </c>
      <c r="I844">
        <f>YEAR(Orders[[#This Row],[Order_Date]])</f>
        <v>2024</v>
      </c>
      <c r="J844" t="str">
        <f>"Q"&amp;ROUNDUP(MONTH(Orders[[#This Row],[Order_Date]])/3,0)</f>
        <v>Q1</v>
      </c>
      <c r="K844" s="2">
        <f>(Orders[[#This Row],[Profit]]/Orders[[#This Row],[Sales]])*100</f>
        <v>17.717655923950847</v>
      </c>
    </row>
    <row r="845" spans="1:11" x14ac:dyDescent="0.3">
      <c r="A845" t="s">
        <v>1089</v>
      </c>
      <c r="B845" s="1">
        <v>45386</v>
      </c>
      <c r="C845" t="s">
        <v>66</v>
      </c>
      <c r="D845" t="s">
        <v>235</v>
      </c>
      <c r="E845">
        <v>1</v>
      </c>
      <c r="F845">
        <v>11342</v>
      </c>
      <c r="G845">
        <v>1590.43</v>
      </c>
      <c r="H845" t="str">
        <f>TEXT(Orders[[#This Row],[Order_Date]],"mmmm")</f>
        <v>April</v>
      </c>
      <c r="I845">
        <f>YEAR(Orders[[#This Row],[Order_Date]])</f>
        <v>2024</v>
      </c>
      <c r="J845" t="str">
        <f>"Q"&amp;ROUNDUP(MONTH(Orders[[#This Row],[Order_Date]])/3,0)</f>
        <v>Q2</v>
      </c>
      <c r="K845" s="2">
        <f>(Orders[[#This Row],[Profit]]/Orders[[#This Row],[Sales]])*100</f>
        <v>14.022482807265032</v>
      </c>
    </row>
    <row r="846" spans="1:11" x14ac:dyDescent="0.3">
      <c r="A846" t="s">
        <v>1090</v>
      </c>
      <c r="B846" s="1">
        <v>45525</v>
      </c>
      <c r="C846" t="s">
        <v>194</v>
      </c>
      <c r="D846" t="s">
        <v>316</v>
      </c>
      <c r="E846">
        <v>5</v>
      </c>
      <c r="F846">
        <v>271920</v>
      </c>
      <c r="G846">
        <v>25417.52</v>
      </c>
      <c r="H846" t="str">
        <f>TEXT(Orders[[#This Row],[Order_Date]],"mmmm")</f>
        <v>August</v>
      </c>
      <c r="I846">
        <f>YEAR(Orders[[#This Row],[Order_Date]])</f>
        <v>2024</v>
      </c>
      <c r="J846" t="str">
        <f>"Q"&amp;ROUNDUP(MONTH(Orders[[#This Row],[Order_Date]])/3,0)</f>
        <v>Q3</v>
      </c>
      <c r="K846" s="2">
        <f>(Orders[[#This Row],[Profit]]/Orders[[#This Row],[Sales]])*100</f>
        <v>9.3474257134451317</v>
      </c>
    </row>
    <row r="847" spans="1:11" x14ac:dyDescent="0.3">
      <c r="A847" t="s">
        <v>1091</v>
      </c>
      <c r="B847" s="1">
        <v>45616</v>
      </c>
      <c r="C847" t="s">
        <v>130</v>
      </c>
      <c r="D847" t="s">
        <v>263</v>
      </c>
      <c r="E847">
        <v>1</v>
      </c>
      <c r="F847">
        <v>7155</v>
      </c>
      <c r="G847">
        <v>654.74</v>
      </c>
      <c r="H847" t="str">
        <f>TEXT(Orders[[#This Row],[Order_Date]],"mmmm")</f>
        <v>November</v>
      </c>
      <c r="I847">
        <f>YEAR(Orders[[#This Row],[Order_Date]])</f>
        <v>2024</v>
      </c>
      <c r="J847" t="str">
        <f>"Q"&amp;ROUNDUP(MONTH(Orders[[#This Row],[Order_Date]])/3,0)</f>
        <v>Q4</v>
      </c>
      <c r="K847" s="2">
        <f>(Orders[[#This Row],[Profit]]/Orders[[#This Row],[Sales]])*100</f>
        <v>9.1508036338225018</v>
      </c>
    </row>
    <row r="848" spans="1:11" x14ac:dyDescent="0.3">
      <c r="A848" t="s">
        <v>1092</v>
      </c>
      <c r="B848" s="1">
        <v>45589</v>
      </c>
      <c r="C848" t="s">
        <v>84</v>
      </c>
      <c r="D848" t="s">
        <v>233</v>
      </c>
      <c r="E848">
        <v>4</v>
      </c>
      <c r="F848">
        <v>222780</v>
      </c>
      <c r="G848">
        <v>49613.69</v>
      </c>
      <c r="H848" t="str">
        <f>TEXT(Orders[[#This Row],[Order_Date]],"mmmm")</f>
        <v>October</v>
      </c>
      <c r="I848">
        <f>YEAR(Orders[[#This Row],[Order_Date]])</f>
        <v>2024</v>
      </c>
      <c r="J848" t="str">
        <f>"Q"&amp;ROUNDUP(MONTH(Orders[[#This Row],[Order_Date]])/3,0)</f>
        <v>Q4</v>
      </c>
      <c r="K848" s="2">
        <f>(Orders[[#This Row],[Profit]]/Orders[[#This Row],[Sales]])*100</f>
        <v>22.270262142023523</v>
      </c>
    </row>
    <row r="849" spans="1:11" x14ac:dyDescent="0.3">
      <c r="A849" t="s">
        <v>1093</v>
      </c>
      <c r="B849" s="1">
        <v>45625</v>
      </c>
      <c r="C849" t="s">
        <v>102</v>
      </c>
      <c r="D849" t="s">
        <v>283</v>
      </c>
      <c r="E849">
        <v>5</v>
      </c>
      <c r="F849">
        <v>270935</v>
      </c>
      <c r="G849">
        <v>50260.11</v>
      </c>
      <c r="H849" t="str">
        <f>TEXT(Orders[[#This Row],[Order_Date]],"mmmm")</f>
        <v>November</v>
      </c>
      <c r="I849">
        <f>YEAR(Orders[[#This Row],[Order_Date]])</f>
        <v>2024</v>
      </c>
      <c r="J849" t="str">
        <f>"Q"&amp;ROUNDUP(MONTH(Orders[[#This Row],[Order_Date]])/3,0)</f>
        <v>Q4</v>
      </c>
      <c r="K849" s="2">
        <f>(Orders[[#This Row],[Profit]]/Orders[[#This Row],[Sales]])*100</f>
        <v>18.550615461272997</v>
      </c>
    </row>
    <row r="850" spans="1:11" x14ac:dyDescent="0.3">
      <c r="A850" t="s">
        <v>1094</v>
      </c>
      <c r="B850" s="1">
        <v>45546</v>
      </c>
      <c r="C850" t="s">
        <v>37</v>
      </c>
      <c r="D850" t="s">
        <v>263</v>
      </c>
      <c r="E850">
        <v>4</v>
      </c>
      <c r="F850">
        <v>28620</v>
      </c>
      <c r="G850">
        <v>3980.99</v>
      </c>
      <c r="H850" t="str">
        <f>TEXT(Orders[[#This Row],[Order_Date]],"mmmm")</f>
        <v>September</v>
      </c>
      <c r="I850">
        <f>YEAR(Orders[[#This Row],[Order_Date]])</f>
        <v>2024</v>
      </c>
      <c r="J850" t="str">
        <f>"Q"&amp;ROUNDUP(MONTH(Orders[[#This Row],[Order_Date]])/3,0)</f>
        <v>Q3</v>
      </c>
      <c r="K850" s="2">
        <f>(Orders[[#This Row],[Profit]]/Orders[[#This Row],[Sales]])*100</f>
        <v>13.909818308874911</v>
      </c>
    </row>
    <row r="851" spans="1:11" x14ac:dyDescent="0.3">
      <c r="A851" t="s">
        <v>1095</v>
      </c>
      <c r="B851" s="1">
        <v>45407</v>
      </c>
      <c r="C851" t="s">
        <v>108</v>
      </c>
      <c r="D851" t="s">
        <v>239</v>
      </c>
      <c r="E851">
        <v>4</v>
      </c>
      <c r="F851">
        <v>100636</v>
      </c>
      <c r="G851">
        <v>13684.34</v>
      </c>
      <c r="H851" t="str">
        <f>TEXT(Orders[[#This Row],[Order_Date]],"mmmm")</f>
        <v>April</v>
      </c>
      <c r="I851">
        <f>YEAR(Orders[[#This Row],[Order_Date]])</f>
        <v>2024</v>
      </c>
      <c r="J851" t="str">
        <f>"Q"&amp;ROUNDUP(MONTH(Orders[[#This Row],[Order_Date]])/3,0)</f>
        <v>Q2</v>
      </c>
      <c r="K851" s="2">
        <f>(Orders[[#This Row],[Profit]]/Orders[[#This Row],[Sales]])*100</f>
        <v>13.597857625501808</v>
      </c>
    </row>
    <row r="852" spans="1:11" x14ac:dyDescent="0.3">
      <c r="A852" t="s">
        <v>1096</v>
      </c>
      <c r="B852" s="1">
        <v>45653</v>
      </c>
      <c r="C852" t="s">
        <v>96</v>
      </c>
      <c r="D852" t="s">
        <v>283</v>
      </c>
      <c r="E852">
        <v>2</v>
      </c>
      <c r="F852">
        <v>108374</v>
      </c>
      <c r="G852">
        <v>12198.22</v>
      </c>
      <c r="H852" t="str">
        <f>TEXT(Orders[[#This Row],[Order_Date]],"mmmm")</f>
        <v>December</v>
      </c>
      <c r="I852">
        <f>YEAR(Orders[[#This Row],[Order_Date]])</f>
        <v>2024</v>
      </c>
      <c r="J852" t="str">
        <f>"Q"&amp;ROUNDUP(MONTH(Orders[[#This Row],[Order_Date]])/3,0)</f>
        <v>Q4</v>
      </c>
      <c r="K852" s="2">
        <f>(Orders[[#This Row],[Profit]]/Orders[[#This Row],[Sales]])*100</f>
        <v>11.255670179194272</v>
      </c>
    </row>
    <row r="853" spans="1:11" x14ac:dyDescent="0.3">
      <c r="A853" t="s">
        <v>1097</v>
      </c>
      <c r="B853" s="1">
        <v>45588</v>
      </c>
      <c r="C853" t="s">
        <v>150</v>
      </c>
      <c r="D853" t="s">
        <v>235</v>
      </c>
      <c r="E853">
        <v>1</v>
      </c>
      <c r="F853">
        <v>11342</v>
      </c>
      <c r="G853">
        <v>1220.31</v>
      </c>
      <c r="H853" t="str">
        <f>TEXT(Orders[[#This Row],[Order_Date]],"mmmm")</f>
        <v>October</v>
      </c>
      <c r="I853">
        <f>YEAR(Orders[[#This Row],[Order_Date]])</f>
        <v>2024</v>
      </c>
      <c r="J853" t="str">
        <f>"Q"&amp;ROUNDUP(MONTH(Orders[[#This Row],[Order_Date]])/3,0)</f>
        <v>Q4</v>
      </c>
      <c r="K853" s="2">
        <f>(Orders[[#This Row],[Profit]]/Orders[[#This Row],[Sales]])*100</f>
        <v>10.759213542585082</v>
      </c>
    </row>
    <row r="854" spans="1:11" x14ac:dyDescent="0.3">
      <c r="A854" t="s">
        <v>1098</v>
      </c>
      <c r="B854" s="1">
        <v>45593</v>
      </c>
      <c r="C854" t="s">
        <v>98</v>
      </c>
      <c r="D854" t="s">
        <v>247</v>
      </c>
      <c r="E854">
        <v>1</v>
      </c>
      <c r="F854">
        <v>11156</v>
      </c>
      <c r="G854">
        <v>1396.45</v>
      </c>
      <c r="H854" t="str">
        <f>TEXT(Orders[[#This Row],[Order_Date]],"mmmm")</f>
        <v>October</v>
      </c>
      <c r="I854">
        <f>YEAR(Orders[[#This Row],[Order_Date]])</f>
        <v>2024</v>
      </c>
      <c r="J854" t="str">
        <f>"Q"&amp;ROUNDUP(MONTH(Orders[[#This Row],[Order_Date]])/3,0)</f>
        <v>Q4</v>
      </c>
      <c r="K854" s="2">
        <f>(Orders[[#This Row],[Profit]]/Orders[[#This Row],[Sales]])*100</f>
        <v>12.517479383291501</v>
      </c>
    </row>
    <row r="855" spans="1:11" x14ac:dyDescent="0.3">
      <c r="A855" t="s">
        <v>1099</v>
      </c>
      <c r="B855" s="1">
        <v>45418</v>
      </c>
      <c r="C855" t="s">
        <v>47</v>
      </c>
      <c r="D855" t="s">
        <v>257</v>
      </c>
      <c r="E855">
        <v>5</v>
      </c>
      <c r="F855">
        <v>33735</v>
      </c>
      <c r="G855">
        <v>5292.08</v>
      </c>
      <c r="H855" t="str">
        <f>TEXT(Orders[[#This Row],[Order_Date]],"mmmm")</f>
        <v>May</v>
      </c>
      <c r="I855">
        <f>YEAR(Orders[[#This Row],[Order_Date]])</f>
        <v>2024</v>
      </c>
      <c r="J855" t="str">
        <f>"Q"&amp;ROUNDUP(MONTH(Orders[[#This Row],[Order_Date]])/3,0)</f>
        <v>Q2</v>
      </c>
      <c r="K855" s="2">
        <f>(Orders[[#This Row],[Profit]]/Orders[[#This Row],[Sales]])*100</f>
        <v>15.687209129983696</v>
      </c>
    </row>
    <row r="856" spans="1:11" x14ac:dyDescent="0.3">
      <c r="A856" t="s">
        <v>1100</v>
      </c>
      <c r="B856" s="1">
        <v>45476</v>
      </c>
      <c r="C856" t="s">
        <v>138</v>
      </c>
      <c r="D856" t="s">
        <v>283</v>
      </c>
      <c r="E856">
        <v>1</v>
      </c>
      <c r="F856">
        <v>54187</v>
      </c>
      <c r="G856">
        <v>5632.83</v>
      </c>
      <c r="H856" t="str">
        <f>TEXT(Orders[[#This Row],[Order_Date]],"mmmm")</f>
        <v>July</v>
      </c>
      <c r="I856">
        <f>YEAR(Orders[[#This Row],[Order_Date]])</f>
        <v>2024</v>
      </c>
      <c r="J856" t="str">
        <f>"Q"&amp;ROUNDUP(MONTH(Orders[[#This Row],[Order_Date]])/3,0)</f>
        <v>Q3</v>
      </c>
      <c r="K856" s="2">
        <f>(Orders[[#This Row],[Profit]]/Orders[[#This Row],[Sales]])*100</f>
        <v>10.395168582870431</v>
      </c>
    </row>
    <row r="857" spans="1:11" x14ac:dyDescent="0.3">
      <c r="A857" t="s">
        <v>1101</v>
      </c>
      <c r="B857" s="1">
        <v>45581</v>
      </c>
      <c r="C857" t="s">
        <v>148</v>
      </c>
      <c r="D857" t="s">
        <v>279</v>
      </c>
      <c r="E857">
        <v>4</v>
      </c>
      <c r="F857">
        <v>24880</v>
      </c>
      <c r="G857">
        <v>5808.54</v>
      </c>
      <c r="H857" t="str">
        <f>TEXT(Orders[[#This Row],[Order_Date]],"mmmm")</f>
        <v>October</v>
      </c>
      <c r="I857">
        <f>YEAR(Orders[[#This Row],[Order_Date]])</f>
        <v>2024</v>
      </c>
      <c r="J857" t="str">
        <f>"Q"&amp;ROUNDUP(MONTH(Orders[[#This Row],[Order_Date]])/3,0)</f>
        <v>Q4</v>
      </c>
      <c r="K857" s="2">
        <f>(Orders[[#This Row],[Profit]]/Orders[[#This Row],[Sales]])*100</f>
        <v>23.346221864951769</v>
      </c>
    </row>
    <row r="858" spans="1:11" x14ac:dyDescent="0.3">
      <c r="A858" t="s">
        <v>1102</v>
      </c>
      <c r="B858" s="1">
        <v>45541</v>
      </c>
      <c r="C858" t="s">
        <v>130</v>
      </c>
      <c r="D858" t="s">
        <v>260</v>
      </c>
      <c r="E858">
        <v>5</v>
      </c>
      <c r="F858">
        <v>279750</v>
      </c>
      <c r="G858">
        <v>33468.68</v>
      </c>
      <c r="H858" t="str">
        <f>TEXT(Orders[[#This Row],[Order_Date]],"mmmm")</f>
        <v>September</v>
      </c>
      <c r="I858">
        <f>YEAR(Orders[[#This Row],[Order_Date]])</f>
        <v>2024</v>
      </c>
      <c r="J858" t="str">
        <f>"Q"&amp;ROUNDUP(MONTH(Orders[[#This Row],[Order_Date]])/3,0)</f>
        <v>Q3</v>
      </c>
      <c r="K858" s="2">
        <f>(Orders[[#This Row],[Profit]]/Orders[[#This Row],[Sales]])*100</f>
        <v>11.963781948168007</v>
      </c>
    </row>
    <row r="859" spans="1:11" x14ac:dyDescent="0.3">
      <c r="A859" t="s">
        <v>1103</v>
      </c>
      <c r="B859" s="1">
        <v>45386</v>
      </c>
      <c r="C859" t="s">
        <v>33</v>
      </c>
      <c r="D859" t="s">
        <v>245</v>
      </c>
      <c r="E859">
        <v>3</v>
      </c>
      <c r="F859">
        <v>72708</v>
      </c>
      <c r="G859">
        <v>12393.42</v>
      </c>
      <c r="H859" t="str">
        <f>TEXT(Orders[[#This Row],[Order_Date]],"mmmm")</f>
        <v>April</v>
      </c>
      <c r="I859">
        <f>YEAR(Orders[[#This Row],[Order_Date]])</f>
        <v>2024</v>
      </c>
      <c r="J859" t="str">
        <f>"Q"&amp;ROUNDUP(MONTH(Orders[[#This Row],[Order_Date]])/3,0)</f>
        <v>Q2</v>
      </c>
      <c r="K859" s="2">
        <f>(Orders[[#This Row],[Profit]]/Orders[[#This Row],[Sales]])*100</f>
        <v>17.045469549430599</v>
      </c>
    </row>
    <row r="860" spans="1:11" x14ac:dyDescent="0.3">
      <c r="A860" t="s">
        <v>1104</v>
      </c>
      <c r="B860" s="1">
        <v>45413</v>
      </c>
      <c r="C860" t="s">
        <v>31</v>
      </c>
      <c r="D860" t="s">
        <v>263</v>
      </c>
      <c r="E860">
        <v>2</v>
      </c>
      <c r="F860">
        <v>14310</v>
      </c>
      <c r="G860">
        <v>1189.95</v>
      </c>
      <c r="H860" t="str">
        <f>TEXT(Orders[[#This Row],[Order_Date]],"mmmm")</f>
        <v>May</v>
      </c>
      <c r="I860">
        <f>YEAR(Orders[[#This Row],[Order_Date]])</f>
        <v>2024</v>
      </c>
      <c r="J860" t="str">
        <f>"Q"&amp;ROUNDUP(MONTH(Orders[[#This Row],[Order_Date]])/3,0)</f>
        <v>Q2</v>
      </c>
      <c r="K860" s="2">
        <f>(Orders[[#This Row],[Profit]]/Orders[[#This Row],[Sales]])*100</f>
        <v>8.3155136268343828</v>
      </c>
    </row>
    <row r="861" spans="1:11" x14ac:dyDescent="0.3">
      <c r="A861" t="s">
        <v>1105</v>
      </c>
      <c r="B861" s="1">
        <v>45577</v>
      </c>
      <c r="C861" t="s">
        <v>80</v>
      </c>
      <c r="D861" t="s">
        <v>255</v>
      </c>
      <c r="E861">
        <v>5</v>
      </c>
      <c r="F861">
        <v>128040</v>
      </c>
      <c r="G861">
        <v>24384.31</v>
      </c>
      <c r="H861" t="str">
        <f>TEXT(Orders[[#This Row],[Order_Date]],"mmmm")</f>
        <v>October</v>
      </c>
      <c r="I861">
        <f>YEAR(Orders[[#This Row],[Order_Date]])</f>
        <v>2024</v>
      </c>
      <c r="J861" t="str">
        <f>"Q"&amp;ROUNDUP(MONTH(Orders[[#This Row],[Order_Date]])/3,0)</f>
        <v>Q4</v>
      </c>
      <c r="K861" s="2">
        <f>(Orders[[#This Row],[Profit]]/Orders[[#This Row],[Sales]])*100</f>
        <v>19.044290846610433</v>
      </c>
    </row>
    <row r="862" spans="1:11" x14ac:dyDescent="0.3">
      <c r="A862" t="s">
        <v>1106</v>
      </c>
      <c r="B862" s="1">
        <v>45553</v>
      </c>
      <c r="C862" t="s">
        <v>126</v>
      </c>
      <c r="D862" t="s">
        <v>257</v>
      </c>
      <c r="E862">
        <v>2</v>
      </c>
      <c r="F862">
        <v>13494</v>
      </c>
      <c r="G862">
        <v>1081.33</v>
      </c>
      <c r="H862" t="str">
        <f>TEXT(Orders[[#This Row],[Order_Date]],"mmmm")</f>
        <v>September</v>
      </c>
      <c r="I862">
        <f>YEAR(Orders[[#This Row],[Order_Date]])</f>
        <v>2024</v>
      </c>
      <c r="J862" t="str">
        <f>"Q"&amp;ROUNDUP(MONTH(Orders[[#This Row],[Order_Date]])/3,0)</f>
        <v>Q3</v>
      </c>
      <c r="K862" s="2">
        <f>(Orders[[#This Row],[Profit]]/Orders[[#This Row],[Sales]])*100</f>
        <v>8.0134133689046987</v>
      </c>
    </row>
    <row r="863" spans="1:11" x14ac:dyDescent="0.3">
      <c r="A863" t="s">
        <v>1107</v>
      </c>
      <c r="B863" s="1">
        <v>45338</v>
      </c>
      <c r="C863" t="s">
        <v>156</v>
      </c>
      <c r="D863" t="s">
        <v>247</v>
      </c>
      <c r="E863">
        <v>2</v>
      </c>
      <c r="F863">
        <v>22312</v>
      </c>
      <c r="G863">
        <v>5044.7700000000004</v>
      </c>
      <c r="H863" t="str">
        <f>TEXT(Orders[[#This Row],[Order_Date]],"mmmm")</f>
        <v>February</v>
      </c>
      <c r="I863">
        <f>YEAR(Orders[[#This Row],[Order_Date]])</f>
        <v>2024</v>
      </c>
      <c r="J863" t="str">
        <f>"Q"&amp;ROUNDUP(MONTH(Orders[[#This Row],[Order_Date]])/3,0)</f>
        <v>Q1</v>
      </c>
      <c r="K863" s="2">
        <f>(Orders[[#This Row],[Profit]]/Orders[[#This Row],[Sales]])*100</f>
        <v>22.610120114736468</v>
      </c>
    </row>
    <row r="864" spans="1:11" x14ac:dyDescent="0.3">
      <c r="A864" t="s">
        <v>1108</v>
      </c>
      <c r="B864" s="1">
        <v>45476</v>
      </c>
      <c r="C864" t="s">
        <v>22</v>
      </c>
      <c r="D864" t="s">
        <v>260</v>
      </c>
      <c r="E864">
        <v>5</v>
      </c>
      <c r="F864">
        <v>279750</v>
      </c>
      <c r="G864">
        <v>35050.589999999997</v>
      </c>
      <c r="H864" t="str">
        <f>TEXT(Orders[[#This Row],[Order_Date]],"mmmm")</f>
        <v>July</v>
      </c>
      <c r="I864">
        <f>YEAR(Orders[[#This Row],[Order_Date]])</f>
        <v>2024</v>
      </c>
      <c r="J864" t="str">
        <f>"Q"&amp;ROUNDUP(MONTH(Orders[[#This Row],[Order_Date]])/3,0)</f>
        <v>Q3</v>
      </c>
      <c r="K864" s="2">
        <f>(Orders[[#This Row],[Profit]]/Orders[[#This Row],[Sales]])*100</f>
        <v>12.529254691689006</v>
      </c>
    </row>
    <row r="865" spans="1:11" x14ac:dyDescent="0.3">
      <c r="A865" t="s">
        <v>1109</v>
      </c>
      <c r="B865" s="1">
        <v>45503</v>
      </c>
      <c r="C865" t="s">
        <v>104</v>
      </c>
      <c r="D865" t="s">
        <v>260</v>
      </c>
      <c r="E865">
        <v>1</v>
      </c>
      <c r="F865">
        <v>55950</v>
      </c>
      <c r="G865">
        <v>6909.42</v>
      </c>
      <c r="H865" t="str">
        <f>TEXT(Orders[[#This Row],[Order_Date]],"mmmm")</f>
        <v>July</v>
      </c>
      <c r="I865">
        <f>YEAR(Orders[[#This Row],[Order_Date]])</f>
        <v>2024</v>
      </c>
      <c r="J865" t="str">
        <f>"Q"&amp;ROUNDUP(MONTH(Orders[[#This Row],[Order_Date]])/3,0)</f>
        <v>Q3</v>
      </c>
      <c r="K865" s="2">
        <f>(Orders[[#This Row],[Profit]]/Orders[[#This Row],[Sales]])*100</f>
        <v>12.349276139410188</v>
      </c>
    </row>
    <row r="866" spans="1:11" x14ac:dyDescent="0.3">
      <c r="A866" t="s">
        <v>1110</v>
      </c>
      <c r="B866" s="1">
        <v>45636</v>
      </c>
      <c r="C866" t="s">
        <v>110</v>
      </c>
      <c r="D866" t="s">
        <v>235</v>
      </c>
      <c r="E866">
        <v>1</v>
      </c>
      <c r="F866">
        <v>11342</v>
      </c>
      <c r="G866">
        <v>1964.95</v>
      </c>
      <c r="H866" t="str">
        <f>TEXT(Orders[[#This Row],[Order_Date]],"mmmm")</f>
        <v>December</v>
      </c>
      <c r="I866">
        <f>YEAR(Orders[[#This Row],[Order_Date]])</f>
        <v>2024</v>
      </c>
      <c r="J866" t="str">
        <f>"Q"&amp;ROUNDUP(MONTH(Orders[[#This Row],[Order_Date]])/3,0)</f>
        <v>Q4</v>
      </c>
      <c r="K866" s="2">
        <f>(Orders[[#This Row],[Profit]]/Orders[[#This Row],[Sales]])*100</f>
        <v>17.324545935461121</v>
      </c>
    </row>
    <row r="867" spans="1:11" x14ac:dyDescent="0.3">
      <c r="A867" t="s">
        <v>1111</v>
      </c>
      <c r="B867" s="1">
        <v>45445</v>
      </c>
      <c r="C867" t="s">
        <v>136</v>
      </c>
      <c r="D867" t="s">
        <v>247</v>
      </c>
      <c r="E867">
        <v>3</v>
      </c>
      <c r="F867">
        <v>33468</v>
      </c>
      <c r="G867">
        <v>4449.1099999999997</v>
      </c>
      <c r="H867" t="str">
        <f>TEXT(Orders[[#This Row],[Order_Date]],"mmmm")</f>
        <v>June</v>
      </c>
      <c r="I867">
        <f>YEAR(Orders[[#This Row],[Order_Date]])</f>
        <v>2024</v>
      </c>
      <c r="J867" t="str">
        <f>"Q"&amp;ROUNDUP(MONTH(Orders[[#This Row],[Order_Date]])/3,0)</f>
        <v>Q2</v>
      </c>
      <c r="K867" s="2">
        <f>(Orders[[#This Row],[Profit]]/Orders[[#This Row],[Sales]])*100</f>
        <v>13.293623760009559</v>
      </c>
    </row>
    <row r="868" spans="1:11" x14ac:dyDescent="0.3">
      <c r="A868" t="s">
        <v>1112</v>
      </c>
      <c r="B868" s="1">
        <v>45539</v>
      </c>
      <c r="C868" t="s">
        <v>192</v>
      </c>
      <c r="D868" t="s">
        <v>229</v>
      </c>
      <c r="E868">
        <v>3</v>
      </c>
      <c r="F868">
        <v>26619</v>
      </c>
      <c r="G868">
        <v>5717.98</v>
      </c>
      <c r="H868" t="str">
        <f>TEXT(Orders[[#This Row],[Order_Date]],"mmmm")</f>
        <v>September</v>
      </c>
      <c r="I868">
        <f>YEAR(Orders[[#This Row],[Order_Date]])</f>
        <v>2024</v>
      </c>
      <c r="J868" t="str">
        <f>"Q"&amp;ROUNDUP(MONTH(Orders[[#This Row],[Order_Date]])/3,0)</f>
        <v>Q3</v>
      </c>
      <c r="K868" s="2">
        <f>(Orders[[#This Row],[Profit]]/Orders[[#This Row],[Sales]])*100</f>
        <v>21.480821969270071</v>
      </c>
    </row>
    <row r="869" spans="1:11" x14ac:dyDescent="0.3">
      <c r="A869" t="s">
        <v>1113</v>
      </c>
      <c r="B869" s="1">
        <v>45625</v>
      </c>
      <c r="C869" t="s">
        <v>94</v>
      </c>
      <c r="D869" t="s">
        <v>239</v>
      </c>
      <c r="E869">
        <v>5</v>
      </c>
      <c r="F869">
        <v>125795</v>
      </c>
      <c r="G869">
        <v>30452.34</v>
      </c>
      <c r="H869" t="str">
        <f>TEXT(Orders[[#This Row],[Order_Date]],"mmmm")</f>
        <v>November</v>
      </c>
      <c r="I869">
        <f>YEAR(Orders[[#This Row],[Order_Date]])</f>
        <v>2024</v>
      </c>
      <c r="J869" t="str">
        <f>"Q"&amp;ROUNDUP(MONTH(Orders[[#This Row],[Order_Date]])/3,0)</f>
        <v>Q4</v>
      </c>
      <c r="K869" s="2">
        <f>(Orders[[#This Row],[Profit]]/Orders[[#This Row],[Sales]])*100</f>
        <v>24.207909694343975</v>
      </c>
    </row>
    <row r="870" spans="1:11" x14ac:dyDescent="0.3">
      <c r="A870" t="s">
        <v>1114</v>
      </c>
      <c r="B870" s="1">
        <v>45355</v>
      </c>
      <c r="C870" t="s">
        <v>13</v>
      </c>
      <c r="D870" t="s">
        <v>239</v>
      </c>
      <c r="E870">
        <v>4</v>
      </c>
      <c r="F870">
        <v>100636</v>
      </c>
      <c r="G870">
        <v>9310.18</v>
      </c>
      <c r="H870" t="str">
        <f>TEXT(Orders[[#This Row],[Order_Date]],"mmmm")</f>
        <v>March</v>
      </c>
      <c r="I870">
        <f>YEAR(Orders[[#This Row],[Order_Date]])</f>
        <v>2024</v>
      </c>
      <c r="J870" t="str">
        <f>"Q"&amp;ROUNDUP(MONTH(Orders[[#This Row],[Order_Date]])/3,0)</f>
        <v>Q1</v>
      </c>
      <c r="K870" s="2">
        <f>(Orders[[#This Row],[Profit]]/Orders[[#This Row],[Sales]])*100</f>
        <v>9.2513414682618542</v>
      </c>
    </row>
    <row r="871" spans="1:11" x14ac:dyDescent="0.3">
      <c r="A871" t="s">
        <v>1115</v>
      </c>
      <c r="B871" s="1">
        <v>45328</v>
      </c>
      <c r="C871" t="s">
        <v>180</v>
      </c>
      <c r="D871" t="s">
        <v>344</v>
      </c>
      <c r="E871">
        <v>2</v>
      </c>
      <c r="F871">
        <v>18202</v>
      </c>
      <c r="G871">
        <v>2908.13</v>
      </c>
      <c r="H871" t="str">
        <f>TEXT(Orders[[#This Row],[Order_Date]],"mmmm")</f>
        <v>February</v>
      </c>
      <c r="I871">
        <f>YEAR(Orders[[#This Row],[Order_Date]])</f>
        <v>2024</v>
      </c>
      <c r="J871" t="str">
        <f>"Q"&amp;ROUNDUP(MONTH(Orders[[#This Row],[Order_Date]])/3,0)</f>
        <v>Q1</v>
      </c>
      <c r="K871" s="2">
        <f>(Orders[[#This Row],[Profit]]/Orders[[#This Row],[Sales]])*100</f>
        <v>15.976980551587738</v>
      </c>
    </row>
    <row r="872" spans="1:11" x14ac:dyDescent="0.3">
      <c r="A872" t="s">
        <v>1116</v>
      </c>
      <c r="B872" s="1">
        <v>45438</v>
      </c>
      <c r="C872" t="s">
        <v>74</v>
      </c>
      <c r="D872" t="s">
        <v>233</v>
      </c>
      <c r="E872">
        <v>2</v>
      </c>
      <c r="F872">
        <v>111390</v>
      </c>
      <c r="G872">
        <v>26123.53</v>
      </c>
      <c r="H872" t="str">
        <f>TEXT(Orders[[#This Row],[Order_Date]],"mmmm")</f>
        <v>May</v>
      </c>
      <c r="I872">
        <f>YEAR(Orders[[#This Row],[Order_Date]])</f>
        <v>2024</v>
      </c>
      <c r="J872" t="str">
        <f>"Q"&amp;ROUNDUP(MONTH(Orders[[#This Row],[Order_Date]])/3,0)</f>
        <v>Q2</v>
      </c>
      <c r="K872" s="2">
        <f>(Orders[[#This Row],[Profit]]/Orders[[#This Row],[Sales]])*100</f>
        <v>23.452311697638926</v>
      </c>
    </row>
    <row r="873" spans="1:11" x14ac:dyDescent="0.3">
      <c r="A873" t="s">
        <v>1117</v>
      </c>
      <c r="B873" s="1">
        <v>45552</v>
      </c>
      <c r="C873" t="s">
        <v>138</v>
      </c>
      <c r="D873" t="s">
        <v>266</v>
      </c>
      <c r="E873">
        <v>5</v>
      </c>
      <c r="F873">
        <v>56175</v>
      </c>
      <c r="G873">
        <v>9967.3700000000008</v>
      </c>
      <c r="H873" t="str">
        <f>TEXT(Orders[[#This Row],[Order_Date]],"mmmm")</f>
        <v>September</v>
      </c>
      <c r="I873">
        <f>YEAR(Orders[[#This Row],[Order_Date]])</f>
        <v>2024</v>
      </c>
      <c r="J873" t="str">
        <f>"Q"&amp;ROUNDUP(MONTH(Orders[[#This Row],[Order_Date]])/3,0)</f>
        <v>Q3</v>
      </c>
      <c r="K873" s="2">
        <f>(Orders[[#This Row],[Profit]]/Orders[[#This Row],[Sales]])*100</f>
        <v>17.743426791277258</v>
      </c>
    </row>
    <row r="874" spans="1:11" x14ac:dyDescent="0.3">
      <c r="A874" t="s">
        <v>1118</v>
      </c>
      <c r="B874" s="1">
        <v>45307</v>
      </c>
      <c r="C874" t="s">
        <v>72</v>
      </c>
      <c r="D874" t="s">
        <v>266</v>
      </c>
      <c r="E874">
        <v>4</v>
      </c>
      <c r="F874">
        <v>44940</v>
      </c>
      <c r="G874">
        <v>4233.32</v>
      </c>
      <c r="H874" t="str">
        <f>TEXT(Orders[[#This Row],[Order_Date]],"mmmm")</f>
        <v>January</v>
      </c>
      <c r="I874">
        <f>YEAR(Orders[[#This Row],[Order_Date]])</f>
        <v>2024</v>
      </c>
      <c r="J874" t="str">
        <f>"Q"&amp;ROUNDUP(MONTH(Orders[[#This Row],[Order_Date]])/3,0)</f>
        <v>Q1</v>
      </c>
      <c r="K874" s="2">
        <f>(Orders[[#This Row],[Profit]]/Orders[[#This Row],[Sales]])*100</f>
        <v>9.4199376947040481</v>
      </c>
    </row>
    <row r="875" spans="1:11" x14ac:dyDescent="0.3">
      <c r="A875" t="s">
        <v>1119</v>
      </c>
      <c r="B875" s="1">
        <v>45443</v>
      </c>
      <c r="C875" t="s">
        <v>37</v>
      </c>
      <c r="D875" t="s">
        <v>279</v>
      </c>
      <c r="E875">
        <v>5</v>
      </c>
      <c r="F875">
        <v>31100</v>
      </c>
      <c r="G875">
        <v>4863.82</v>
      </c>
      <c r="H875" t="str">
        <f>TEXT(Orders[[#This Row],[Order_Date]],"mmmm")</f>
        <v>May</v>
      </c>
      <c r="I875">
        <f>YEAR(Orders[[#This Row],[Order_Date]])</f>
        <v>2024</v>
      </c>
      <c r="J875" t="str">
        <f>"Q"&amp;ROUNDUP(MONTH(Orders[[#This Row],[Order_Date]])/3,0)</f>
        <v>Q2</v>
      </c>
      <c r="K875" s="2">
        <f>(Orders[[#This Row],[Profit]]/Orders[[#This Row],[Sales]])*100</f>
        <v>15.639292604501605</v>
      </c>
    </row>
    <row r="876" spans="1:11" x14ac:dyDescent="0.3">
      <c r="A876" t="s">
        <v>1120</v>
      </c>
      <c r="B876" s="1">
        <v>45494</v>
      </c>
      <c r="C876" t="s">
        <v>126</v>
      </c>
      <c r="D876" t="s">
        <v>257</v>
      </c>
      <c r="E876">
        <v>5</v>
      </c>
      <c r="F876">
        <v>33735</v>
      </c>
      <c r="G876">
        <v>7994.7</v>
      </c>
      <c r="H876" t="str">
        <f>TEXT(Orders[[#This Row],[Order_Date]],"mmmm")</f>
        <v>July</v>
      </c>
      <c r="I876">
        <f>YEAR(Orders[[#This Row],[Order_Date]])</f>
        <v>2024</v>
      </c>
      <c r="J876" t="str">
        <f>"Q"&amp;ROUNDUP(MONTH(Orders[[#This Row],[Order_Date]])/3,0)</f>
        <v>Q3</v>
      </c>
      <c r="K876" s="2">
        <f>(Orders[[#This Row],[Profit]]/Orders[[#This Row],[Sales]])*100</f>
        <v>23.69853268119164</v>
      </c>
    </row>
    <row r="877" spans="1:11" x14ac:dyDescent="0.3">
      <c r="A877" t="s">
        <v>1121</v>
      </c>
      <c r="B877" s="1">
        <v>45544</v>
      </c>
      <c r="C877" t="s">
        <v>116</v>
      </c>
      <c r="D877" t="s">
        <v>266</v>
      </c>
      <c r="E877">
        <v>2</v>
      </c>
      <c r="F877">
        <v>22470</v>
      </c>
      <c r="G877">
        <v>2739.85</v>
      </c>
      <c r="H877" t="str">
        <f>TEXT(Orders[[#This Row],[Order_Date]],"mmmm")</f>
        <v>September</v>
      </c>
      <c r="I877">
        <f>YEAR(Orders[[#This Row],[Order_Date]])</f>
        <v>2024</v>
      </c>
      <c r="J877" t="str">
        <f>"Q"&amp;ROUNDUP(MONTH(Orders[[#This Row],[Order_Date]])/3,0)</f>
        <v>Q3</v>
      </c>
      <c r="K877" s="2">
        <f>(Orders[[#This Row],[Profit]]/Orders[[#This Row],[Sales]])*100</f>
        <v>12.19336893635959</v>
      </c>
    </row>
    <row r="878" spans="1:11" x14ac:dyDescent="0.3">
      <c r="A878" t="s">
        <v>1122</v>
      </c>
      <c r="B878" s="1">
        <v>45472</v>
      </c>
      <c r="C878" t="s">
        <v>13</v>
      </c>
      <c r="D878" t="s">
        <v>279</v>
      </c>
      <c r="E878">
        <v>3</v>
      </c>
      <c r="F878">
        <v>18660</v>
      </c>
      <c r="G878">
        <v>2996.85</v>
      </c>
      <c r="H878" t="str">
        <f>TEXT(Orders[[#This Row],[Order_Date]],"mmmm")</f>
        <v>June</v>
      </c>
      <c r="I878">
        <f>YEAR(Orders[[#This Row],[Order_Date]])</f>
        <v>2024</v>
      </c>
      <c r="J878" t="str">
        <f>"Q"&amp;ROUNDUP(MONTH(Orders[[#This Row],[Order_Date]])/3,0)</f>
        <v>Q2</v>
      </c>
      <c r="K878" s="2">
        <f>(Orders[[#This Row],[Profit]]/Orders[[#This Row],[Sales]])*100</f>
        <v>16.060289389067524</v>
      </c>
    </row>
    <row r="879" spans="1:11" x14ac:dyDescent="0.3">
      <c r="A879" t="s">
        <v>1123</v>
      </c>
      <c r="B879" s="1">
        <v>45635</v>
      </c>
      <c r="C879" t="s">
        <v>212</v>
      </c>
      <c r="D879" t="s">
        <v>239</v>
      </c>
      <c r="E879">
        <v>5</v>
      </c>
      <c r="F879">
        <v>125795</v>
      </c>
      <c r="G879">
        <v>25514.55</v>
      </c>
      <c r="H879" t="str">
        <f>TEXT(Orders[[#This Row],[Order_Date]],"mmmm")</f>
        <v>December</v>
      </c>
      <c r="I879">
        <f>YEAR(Orders[[#This Row],[Order_Date]])</f>
        <v>2024</v>
      </c>
      <c r="J879" t="str">
        <f>"Q"&amp;ROUNDUP(MONTH(Orders[[#This Row],[Order_Date]])/3,0)</f>
        <v>Q4</v>
      </c>
      <c r="K879" s="2">
        <f>(Orders[[#This Row],[Profit]]/Orders[[#This Row],[Sales]])*100</f>
        <v>20.282642394371795</v>
      </c>
    </row>
    <row r="880" spans="1:11" x14ac:dyDescent="0.3">
      <c r="A880" t="s">
        <v>1124</v>
      </c>
      <c r="B880" s="1">
        <v>45490</v>
      </c>
      <c r="C880" t="s">
        <v>212</v>
      </c>
      <c r="D880" t="s">
        <v>239</v>
      </c>
      <c r="E880">
        <v>2</v>
      </c>
      <c r="F880">
        <v>50318</v>
      </c>
      <c r="G880">
        <v>9920.17</v>
      </c>
      <c r="H880" t="str">
        <f>TEXT(Orders[[#This Row],[Order_Date]],"mmmm")</f>
        <v>July</v>
      </c>
      <c r="I880">
        <f>YEAR(Orders[[#This Row],[Order_Date]])</f>
        <v>2024</v>
      </c>
      <c r="J880" t="str">
        <f>"Q"&amp;ROUNDUP(MONTH(Orders[[#This Row],[Order_Date]])/3,0)</f>
        <v>Q3</v>
      </c>
      <c r="K880" s="2">
        <f>(Orders[[#This Row],[Profit]]/Orders[[#This Row],[Sales]])*100</f>
        <v>19.714952899558806</v>
      </c>
    </row>
    <row r="881" spans="1:11" x14ac:dyDescent="0.3">
      <c r="A881" t="s">
        <v>1125</v>
      </c>
      <c r="B881" s="1">
        <v>45382</v>
      </c>
      <c r="C881" t="s">
        <v>74</v>
      </c>
      <c r="D881" t="s">
        <v>283</v>
      </c>
      <c r="E881">
        <v>1</v>
      </c>
      <c r="F881">
        <v>54187</v>
      </c>
      <c r="G881">
        <v>13000.13</v>
      </c>
      <c r="H881" t="str">
        <f>TEXT(Orders[[#This Row],[Order_Date]],"mmmm")</f>
        <v>March</v>
      </c>
      <c r="I881">
        <f>YEAR(Orders[[#This Row],[Order_Date]])</f>
        <v>2024</v>
      </c>
      <c r="J881" t="str">
        <f>"Q"&amp;ROUNDUP(MONTH(Orders[[#This Row],[Order_Date]])/3,0)</f>
        <v>Q1</v>
      </c>
      <c r="K881" s="2">
        <f>(Orders[[#This Row],[Profit]]/Orders[[#This Row],[Sales]])*100</f>
        <v>23.991234059829846</v>
      </c>
    </row>
    <row r="882" spans="1:11" x14ac:dyDescent="0.3">
      <c r="A882" t="s">
        <v>1126</v>
      </c>
      <c r="B882" s="1">
        <v>45364</v>
      </c>
      <c r="C882" t="s">
        <v>214</v>
      </c>
      <c r="D882" t="s">
        <v>229</v>
      </c>
      <c r="E882">
        <v>4</v>
      </c>
      <c r="F882">
        <v>35492</v>
      </c>
      <c r="G882">
        <v>5093.24</v>
      </c>
      <c r="H882" t="str">
        <f>TEXT(Orders[[#This Row],[Order_Date]],"mmmm")</f>
        <v>March</v>
      </c>
      <c r="I882">
        <f>YEAR(Orders[[#This Row],[Order_Date]])</f>
        <v>2024</v>
      </c>
      <c r="J882" t="str">
        <f>"Q"&amp;ROUNDUP(MONTH(Orders[[#This Row],[Order_Date]])/3,0)</f>
        <v>Q1</v>
      </c>
      <c r="K882" s="2">
        <f>(Orders[[#This Row],[Profit]]/Orders[[#This Row],[Sales]])*100</f>
        <v>14.350388820015777</v>
      </c>
    </row>
    <row r="883" spans="1:11" x14ac:dyDescent="0.3">
      <c r="A883" t="s">
        <v>1127</v>
      </c>
      <c r="B883" s="1">
        <v>45400</v>
      </c>
      <c r="C883" t="s">
        <v>33</v>
      </c>
      <c r="D883" t="s">
        <v>255</v>
      </c>
      <c r="E883">
        <v>2</v>
      </c>
      <c r="F883">
        <v>51216</v>
      </c>
      <c r="G883">
        <v>4488.68</v>
      </c>
      <c r="H883" t="str">
        <f>TEXT(Orders[[#This Row],[Order_Date]],"mmmm")</f>
        <v>April</v>
      </c>
      <c r="I883">
        <f>YEAR(Orders[[#This Row],[Order_Date]])</f>
        <v>2024</v>
      </c>
      <c r="J883" t="str">
        <f>"Q"&amp;ROUNDUP(MONTH(Orders[[#This Row],[Order_Date]])/3,0)</f>
        <v>Q2</v>
      </c>
      <c r="K883" s="2">
        <f>(Orders[[#This Row],[Profit]]/Orders[[#This Row],[Sales]])*100</f>
        <v>8.7642143080287429</v>
      </c>
    </row>
    <row r="884" spans="1:11" x14ac:dyDescent="0.3">
      <c r="A884" t="s">
        <v>1128</v>
      </c>
      <c r="B884" s="1">
        <v>45530</v>
      </c>
      <c r="C884" t="s">
        <v>214</v>
      </c>
      <c r="D884" t="s">
        <v>255</v>
      </c>
      <c r="E884">
        <v>5</v>
      </c>
      <c r="F884">
        <v>128040</v>
      </c>
      <c r="G884">
        <v>29791.119999999999</v>
      </c>
      <c r="H884" t="str">
        <f>TEXT(Orders[[#This Row],[Order_Date]],"mmmm")</f>
        <v>August</v>
      </c>
      <c r="I884">
        <f>YEAR(Orders[[#This Row],[Order_Date]])</f>
        <v>2024</v>
      </c>
      <c r="J884" t="str">
        <f>"Q"&amp;ROUNDUP(MONTH(Orders[[#This Row],[Order_Date]])/3,0)</f>
        <v>Q3</v>
      </c>
      <c r="K884" s="2">
        <f>(Orders[[#This Row],[Profit]]/Orders[[#This Row],[Sales]])*100</f>
        <v>23.267041549515778</v>
      </c>
    </row>
    <row r="885" spans="1:11" x14ac:dyDescent="0.3">
      <c r="A885" t="s">
        <v>1129</v>
      </c>
      <c r="B885" s="1">
        <v>45302</v>
      </c>
      <c r="C885" t="s">
        <v>186</v>
      </c>
      <c r="D885" t="s">
        <v>279</v>
      </c>
      <c r="E885">
        <v>3</v>
      </c>
      <c r="F885">
        <v>18660</v>
      </c>
      <c r="G885">
        <v>3001.23</v>
      </c>
      <c r="H885" t="str">
        <f>TEXT(Orders[[#This Row],[Order_Date]],"mmmm")</f>
        <v>January</v>
      </c>
      <c r="I885">
        <f>YEAR(Orders[[#This Row],[Order_Date]])</f>
        <v>2024</v>
      </c>
      <c r="J885" t="str">
        <f>"Q"&amp;ROUNDUP(MONTH(Orders[[#This Row],[Order_Date]])/3,0)</f>
        <v>Q1</v>
      </c>
      <c r="K885" s="2">
        <f>(Orders[[#This Row],[Profit]]/Orders[[#This Row],[Sales]])*100</f>
        <v>16.083762057877813</v>
      </c>
    </row>
    <row r="886" spans="1:11" x14ac:dyDescent="0.3">
      <c r="A886" t="s">
        <v>1130</v>
      </c>
      <c r="B886" s="1">
        <v>45637</v>
      </c>
      <c r="C886" t="s">
        <v>200</v>
      </c>
      <c r="D886" t="s">
        <v>266</v>
      </c>
      <c r="E886">
        <v>4</v>
      </c>
      <c r="F886">
        <v>44940</v>
      </c>
      <c r="G886">
        <v>11164.05</v>
      </c>
      <c r="H886" t="str">
        <f>TEXT(Orders[[#This Row],[Order_Date]],"mmmm")</f>
        <v>December</v>
      </c>
      <c r="I886">
        <f>YEAR(Orders[[#This Row],[Order_Date]])</f>
        <v>2024</v>
      </c>
      <c r="J886" t="str">
        <f>"Q"&amp;ROUNDUP(MONTH(Orders[[#This Row],[Order_Date]])/3,0)</f>
        <v>Q4</v>
      </c>
      <c r="K886" s="2">
        <f>(Orders[[#This Row],[Profit]]/Orders[[#This Row],[Sales]])*100</f>
        <v>24.842122830440587</v>
      </c>
    </row>
    <row r="887" spans="1:11" x14ac:dyDescent="0.3">
      <c r="A887" t="s">
        <v>1131</v>
      </c>
      <c r="B887" s="1">
        <v>45403</v>
      </c>
      <c r="C887" t="s">
        <v>168</v>
      </c>
      <c r="D887" t="s">
        <v>253</v>
      </c>
      <c r="E887">
        <v>4</v>
      </c>
      <c r="F887">
        <v>24100</v>
      </c>
      <c r="G887">
        <v>4844.1499999999996</v>
      </c>
      <c r="H887" t="str">
        <f>TEXT(Orders[[#This Row],[Order_Date]],"mmmm")</f>
        <v>April</v>
      </c>
      <c r="I887">
        <f>YEAR(Orders[[#This Row],[Order_Date]])</f>
        <v>2024</v>
      </c>
      <c r="J887" t="str">
        <f>"Q"&amp;ROUNDUP(MONTH(Orders[[#This Row],[Order_Date]])/3,0)</f>
        <v>Q2</v>
      </c>
      <c r="K887" s="2">
        <f>(Orders[[#This Row],[Profit]]/Orders[[#This Row],[Sales]])*100</f>
        <v>20.100207468879667</v>
      </c>
    </row>
    <row r="888" spans="1:11" x14ac:dyDescent="0.3">
      <c r="A888" t="s">
        <v>1132</v>
      </c>
      <c r="B888" s="1">
        <v>45587</v>
      </c>
      <c r="C888" t="s">
        <v>216</v>
      </c>
      <c r="D888" t="s">
        <v>231</v>
      </c>
      <c r="E888">
        <v>2</v>
      </c>
      <c r="F888">
        <v>109874</v>
      </c>
      <c r="G888">
        <v>21277.25</v>
      </c>
      <c r="H888" t="str">
        <f>TEXT(Orders[[#This Row],[Order_Date]],"mmmm")</f>
        <v>October</v>
      </c>
      <c r="I888">
        <f>YEAR(Orders[[#This Row],[Order_Date]])</f>
        <v>2024</v>
      </c>
      <c r="J888" t="str">
        <f>"Q"&amp;ROUNDUP(MONTH(Orders[[#This Row],[Order_Date]])/3,0)</f>
        <v>Q4</v>
      </c>
      <c r="K888" s="2">
        <f>(Orders[[#This Row],[Profit]]/Orders[[#This Row],[Sales]])*100</f>
        <v>19.36513642900049</v>
      </c>
    </row>
    <row r="889" spans="1:11" x14ac:dyDescent="0.3">
      <c r="A889" t="s">
        <v>1133</v>
      </c>
      <c r="B889" s="1">
        <v>45433</v>
      </c>
      <c r="C889" t="s">
        <v>140</v>
      </c>
      <c r="D889" t="s">
        <v>231</v>
      </c>
      <c r="E889">
        <v>5</v>
      </c>
      <c r="F889">
        <v>274685</v>
      </c>
      <c r="G889">
        <v>41372.879999999997</v>
      </c>
      <c r="H889" t="str">
        <f>TEXT(Orders[[#This Row],[Order_Date]],"mmmm")</f>
        <v>May</v>
      </c>
      <c r="I889">
        <f>YEAR(Orders[[#This Row],[Order_Date]])</f>
        <v>2024</v>
      </c>
      <c r="J889" t="str">
        <f>"Q"&amp;ROUNDUP(MONTH(Orders[[#This Row],[Order_Date]])/3,0)</f>
        <v>Q2</v>
      </c>
      <c r="K889" s="2">
        <f>(Orders[[#This Row],[Profit]]/Orders[[#This Row],[Sales]])*100</f>
        <v>15.061936399876222</v>
      </c>
    </row>
    <row r="890" spans="1:11" x14ac:dyDescent="0.3">
      <c r="A890" t="s">
        <v>1134</v>
      </c>
      <c r="B890" s="1">
        <v>45521</v>
      </c>
      <c r="C890" t="s">
        <v>132</v>
      </c>
      <c r="D890" t="s">
        <v>237</v>
      </c>
      <c r="E890">
        <v>1</v>
      </c>
      <c r="F890">
        <v>8626</v>
      </c>
      <c r="G890">
        <v>2071.9499999999998</v>
      </c>
      <c r="H890" t="str">
        <f>TEXT(Orders[[#This Row],[Order_Date]],"mmmm")</f>
        <v>August</v>
      </c>
      <c r="I890">
        <f>YEAR(Orders[[#This Row],[Order_Date]])</f>
        <v>2024</v>
      </c>
      <c r="J890" t="str">
        <f>"Q"&amp;ROUNDUP(MONTH(Orders[[#This Row],[Order_Date]])/3,0)</f>
        <v>Q3</v>
      </c>
      <c r="K890" s="2">
        <f>(Orders[[#This Row],[Profit]]/Orders[[#This Row],[Sales]])*100</f>
        <v>24.019823788546255</v>
      </c>
    </row>
    <row r="891" spans="1:11" x14ac:dyDescent="0.3">
      <c r="A891" t="s">
        <v>1135</v>
      </c>
      <c r="B891" s="1">
        <v>45408</v>
      </c>
      <c r="C891" t="s">
        <v>194</v>
      </c>
      <c r="D891" t="s">
        <v>279</v>
      </c>
      <c r="E891">
        <v>5</v>
      </c>
      <c r="F891">
        <v>31100</v>
      </c>
      <c r="G891">
        <v>7736.6</v>
      </c>
      <c r="H891" t="str">
        <f>TEXT(Orders[[#This Row],[Order_Date]],"mmmm")</f>
        <v>April</v>
      </c>
      <c r="I891">
        <f>YEAR(Orders[[#This Row],[Order_Date]])</f>
        <v>2024</v>
      </c>
      <c r="J891" t="str">
        <f>"Q"&amp;ROUNDUP(MONTH(Orders[[#This Row],[Order_Date]])/3,0)</f>
        <v>Q2</v>
      </c>
      <c r="K891" s="2">
        <f>(Orders[[#This Row],[Profit]]/Orders[[#This Row],[Sales]])*100</f>
        <v>24.876527331189713</v>
      </c>
    </row>
    <row r="892" spans="1:11" x14ac:dyDescent="0.3">
      <c r="A892" t="s">
        <v>1136</v>
      </c>
      <c r="B892" s="1">
        <v>45422</v>
      </c>
      <c r="C892" t="s">
        <v>150</v>
      </c>
      <c r="D892" t="s">
        <v>233</v>
      </c>
      <c r="E892">
        <v>2</v>
      </c>
      <c r="F892">
        <v>111390</v>
      </c>
      <c r="G892">
        <v>11847.98</v>
      </c>
      <c r="H892" t="str">
        <f>TEXT(Orders[[#This Row],[Order_Date]],"mmmm")</f>
        <v>May</v>
      </c>
      <c r="I892">
        <f>YEAR(Orders[[#This Row],[Order_Date]])</f>
        <v>2024</v>
      </c>
      <c r="J892" t="str">
        <f>"Q"&amp;ROUNDUP(MONTH(Orders[[#This Row],[Order_Date]])/3,0)</f>
        <v>Q2</v>
      </c>
      <c r="K892" s="2">
        <f>(Orders[[#This Row],[Profit]]/Orders[[#This Row],[Sales]])*100</f>
        <v>10.636484424095521</v>
      </c>
    </row>
    <row r="893" spans="1:11" x14ac:dyDescent="0.3">
      <c r="A893" t="s">
        <v>1137</v>
      </c>
      <c r="B893" s="1">
        <v>45637</v>
      </c>
      <c r="C893" t="s">
        <v>200</v>
      </c>
      <c r="D893" t="s">
        <v>227</v>
      </c>
      <c r="E893">
        <v>4</v>
      </c>
      <c r="F893">
        <v>37576</v>
      </c>
      <c r="G893">
        <v>8394.5300000000007</v>
      </c>
      <c r="H893" t="str">
        <f>TEXT(Orders[[#This Row],[Order_Date]],"mmmm")</f>
        <v>December</v>
      </c>
      <c r="I893">
        <f>YEAR(Orders[[#This Row],[Order_Date]])</f>
        <v>2024</v>
      </c>
      <c r="J893" t="str">
        <f>"Q"&amp;ROUNDUP(MONTH(Orders[[#This Row],[Order_Date]])/3,0)</f>
        <v>Q4</v>
      </c>
      <c r="K893" s="2">
        <f>(Orders[[#This Row],[Profit]]/Orders[[#This Row],[Sales]])*100</f>
        <v>22.340137321694701</v>
      </c>
    </row>
    <row r="894" spans="1:11" x14ac:dyDescent="0.3">
      <c r="A894" t="s">
        <v>1138</v>
      </c>
      <c r="B894" s="1">
        <v>45335</v>
      </c>
      <c r="C894" t="s">
        <v>128</v>
      </c>
      <c r="D894" t="s">
        <v>229</v>
      </c>
      <c r="E894">
        <v>2</v>
      </c>
      <c r="F894">
        <v>17746</v>
      </c>
      <c r="G894">
        <v>1829.97</v>
      </c>
      <c r="H894" t="str">
        <f>TEXT(Orders[[#This Row],[Order_Date]],"mmmm")</f>
        <v>February</v>
      </c>
      <c r="I894">
        <f>YEAR(Orders[[#This Row],[Order_Date]])</f>
        <v>2024</v>
      </c>
      <c r="J894" t="str">
        <f>"Q"&amp;ROUNDUP(MONTH(Orders[[#This Row],[Order_Date]])/3,0)</f>
        <v>Q1</v>
      </c>
      <c r="K894" s="2">
        <f>(Orders[[#This Row],[Profit]]/Orders[[#This Row],[Sales]])*100</f>
        <v>10.312013974980278</v>
      </c>
    </row>
    <row r="895" spans="1:11" x14ac:dyDescent="0.3">
      <c r="A895" t="s">
        <v>1139</v>
      </c>
      <c r="B895" s="1">
        <v>45404</v>
      </c>
      <c r="C895" t="s">
        <v>62</v>
      </c>
      <c r="D895" t="s">
        <v>266</v>
      </c>
      <c r="E895">
        <v>5</v>
      </c>
      <c r="F895">
        <v>56175</v>
      </c>
      <c r="G895">
        <v>11438.78</v>
      </c>
      <c r="H895" t="str">
        <f>TEXT(Orders[[#This Row],[Order_Date]],"mmmm")</f>
        <v>April</v>
      </c>
      <c r="I895">
        <f>YEAR(Orders[[#This Row],[Order_Date]])</f>
        <v>2024</v>
      </c>
      <c r="J895" t="str">
        <f>"Q"&amp;ROUNDUP(MONTH(Orders[[#This Row],[Order_Date]])/3,0)</f>
        <v>Q2</v>
      </c>
      <c r="K895" s="2">
        <f>(Orders[[#This Row],[Profit]]/Orders[[#This Row],[Sales]])*100</f>
        <v>20.362759234534934</v>
      </c>
    </row>
    <row r="896" spans="1:11" x14ac:dyDescent="0.3">
      <c r="A896" t="s">
        <v>1140</v>
      </c>
      <c r="B896" s="1">
        <v>45437</v>
      </c>
      <c r="C896" t="s">
        <v>94</v>
      </c>
      <c r="D896" t="s">
        <v>235</v>
      </c>
      <c r="E896">
        <v>4</v>
      </c>
      <c r="F896">
        <v>45368</v>
      </c>
      <c r="G896">
        <v>5699.05</v>
      </c>
      <c r="H896" t="str">
        <f>TEXT(Orders[[#This Row],[Order_Date]],"mmmm")</f>
        <v>May</v>
      </c>
      <c r="I896">
        <f>YEAR(Orders[[#This Row],[Order_Date]])</f>
        <v>2024</v>
      </c>
      <c r="J896" t="str">
        <f>"Q"&amp;ROUNDUP(MONTH(Orders[[#This Row],[Order_Date]])/3,0)</f>
        <v>Q2</v>
      </c>
      <c r="K896" s="2">
        <f>(Orders[[#This Row],[Profit]]/Orders[[#This Row],[Sales]])*100</f>
        <v>12.56182771997884</v>
      </c>
    </row>
    <row r="897" spans="1:11" x14ac:dyDescent="0.3">
      <c r="A897" t="s">
        <v>1141</v>
      </c>
      <c r="B897" s="1">
        <v>45635</v>
      </c>
      <c r="C897" t="s">
        <v>58</v>
      </c>
      <c r="D897" t="s">
        <v>239</v>
      </c>
      <c r="E897">
        <v>4</v>
      </c>
      <c r="F897">
        <v>100636</v>
      </c>
      <c r="G897">
        <v>12869.88</v>
      </c>
      <c r="H897" t="str">
        <f>TEXT(Orders[[#This Row],[Order_Date]],"mmmm")</f>
        <v>December</v>
      </c>
      <c r="I897">
        <f>YEAR(Orders[[#This Row],[Order_Date]])</f>
        <v>2024</v>
      </c>
      <c r="J897" t="str">
        <f>"Q"&amp;ROUNDUP(MONTH(Orders[[#This Row],[Order_Date]])/3,0)</f>
        <v>Q4</v>
      </c>
      <c r="K897" s="2">
        <f>(Orders[[#This Row],[Profit]]/Orders[[#This Row],[Sales]])*100</f>
        <v>12.788544854723954</v>
      </c>
    </row>
    <row r="898" spans="1:11" x14ac:dyDescent="0.3">
      <c r="A898" t="s">
        <v>1142</v>
      </c>
      <c r="B898" s="1">
        <v>45641</v>
      </c>
      <c r="C898" t="s">
        <v>96</v>
      </c>
      <c r="D898" t="s">
        <v>283</v>
      </c>
      <c r="E898">
        <v>5</v>
      </c>
      <c r="F898">
        <v>270935</v>
      </c>
      <c r="G898">
        <v>24492.84</v>
      </c>
      <c r="H898" t="str">
        <f>TEXT(Orders[[#This Row],[Order_Date]],"mmmm")</f>
        <v>December</v>
      </c>
      <c r="I898">
        <f>YEAR(Orders[[#This Row],[Order_Date]])</f>
        <v>2024</v>
      </c>
      <c r="J898" t="str">
        <f>"Q"&amp;ROUNDUP(MONTH(Orders[[#This Row],[Order_Date]])/3,0)</f>
        <v>Q4</v>
      </c>
      <c r="K898" s="2">
        <f>(Orders[[#This Row],[Profit]]/Orders[[#This Row],[Sales]])*100</f>
        <v>9.0401166331407907</v>
      </c>
    </row>
    <row r="899" spans="1:11" x14ac:dyDescent="0.3">
      <c r="A899" t="s">
        <v>1143</v>
      </c>
      <c r="B899" s="1">
        <v>45513</v>
      </c>
      <c r="C899" t="s">
        <v>58</v>
      </c>
      <c r="D899" t="s">
        <v>239</v>
      </c>
      <c r="E899">
        <v>2</v>
      </c>
      <c r="F899">
        <v>50318</v>
      </c>
      <c r="G899">
        <v>8459.59</v>
      </c>
      <c r="H899" t="str">
        <f>TEXT(Orders[[#This Row],[Order_Date]],"mmmm")</f>
        <v>August</v>
      </c>
      <c r="I899">
        <f>YEAR(Orders[[#This Row],[Order_Date]])</f>
        <v>2024</v>
      </c>
      <c r="J899" t="str">
        <f>"Q"&amp;ROUNDUP(MONTH(Orders[[#This Row],[Order_Date]])/3,0)</f>
        <v>Q3</v>
      </c>
      <c r="K899" s="2">
        <f>(Orders[[#This Row],[Profit]]/Orders[[#This Row],[Sales]])*100</f>
        <v>16.812254064151993</v>
      </c>
    </row>
    <row r="900" spans="1:11" x14ac:dyDescent="0.3">
      <c r="A900" t="s">
        <v>1144</v>
      </c>
      <c r="B900" s="1">
        <v>45449</v>
      </c>
      <c r="C900" t="s">
        <v>47</v>
      </c>
      <c r="D900" t="s">
        <v>247</v>
      </c>
      <c r="E900">
        <v>3</v>
      </c>
      <c r="F900">
        <v>33468</v>
      </c>
      <c r="G900">
        <v>6356.1</v>
      </c>
      <c r="H900" t="str">
        <f>TEXT(Orders[[#This Row],[Order_Date]],"mmmm")</f>
        <v>June</v>
      </c>
      <c r="I900">
        <f>YEAR(Orders[[#This Row],[Order_Date]])</f>
        <v>2024</v>
      </c>
      <c r="J900" t="str">
        <f>"Q"&amp;ROUNDUP(MONTH(Orders[[#This Row],[Order_Date]])/3,0)</f>
        <v>Q2</v>
      </c>
      <c r="K900" s="2">
        <f>(Orders[[#This Row],[Profit]]/Orders[[#This Row],[Sales]])*100</f>
        <v>18.991574040874866</v>
      </c>
    </row>
    <row r="901" spans="1:11" x14ac:dyDescent="0.3">
      <c r="A901" t="s">
        <v>1145</v>
      </c>
      <c r="B901" s="1">
        <v>45437</v>
      </c>
      <c r="C901" t="s">
        <v>24</v>
      </c>
      <c r="D901" t="s">
        <v>279</v>
      </c>
      <c r="E901">
        <v>4</v>
      </c>
      <c r="F901">
        <v>24880</v>
      </c>
      <c r="G901">
        <v>2123.56</v>
      </c>
      <c r="H901" t="str">
        <f>TEXT(Orders[[#This Row],[Order_Date]],"mmmm")</f>
        <v>May</v>
      </c>
      <c r="I901">
        <f>YEAR(Orders[[#This Row],[Order_Date]])</f>
        <v>2024</v>
      </c>
      <c r="J901" t="str">
        <f>"Q"&amp;ROUNDUP(MONTH(Orders[[#This Row],[Order_Date]])/3,0)</f>
        <v>Q2</v>
      </c>
      <c r="K901" s="2">
        <f>(Orders[[#This Row],[Profit]]/Orders[[#This Row],[Sales]])*100</f>
        <v>8.5352090032154333</v>
      </c>
    </row>
    <row r="902" spans="1:11" x14ac:dyDescent="0.3">
      <c r="A902" t="s">
        <v>1146</v>
      </c>
      <c r="B902" s="1">
        <v>45432</v>
      </c>
      <c r="C902" t="s">
        <v>162</v>
      </c>
      <c r="D902" t="s">
        <v>263</v>
      </c>
      <c r="E902">
        <v>3</v>
      </c>
      <c r="F902">
        <v>21465</v>
      </c>
      <c r="G902">
        <v>5221.6099999999997</v>
      </c>
      <c r="H902" t="str">
        <f>TEXT(Orders[[#This Row],[Order_Date]],"mmmm")</f>
        <v>May</v>
      </c>
      <c r="I902">
        <f>YEAR(Orders[[#This Row],[Order_Date]])</f>
        <v>2024</v>
      </c>
      <c r="J902" t="str">
        <f>"Q"&amp;ROUNDUP(MONTH(Orders[[#This Row],[Order_Date]])/3,0)</f>
        <v>Q2</v>
      </c>
      <c r="K902" s="2">
        <f>(Orders[[#This Row],[Profit]]/Orders[[#This Row],[Sales]])*100</f>
        <v>24.326158863265778</v>
      </c>
    </row>
    <row r="903" spans="1:11" x14ac:dyDescent="0.3">
      <c r="A903" t="s">
        <v>1147</v>
      </c>
      <c r="B903" s="1">
        <v>45337</v>
      </c>
      <c r="C903" t="s">
        <v>62</v>
      </c>
      <c r="D903" t="s">
        <v>279</v>
      </c>
      <c r="E903">
        <v>5</v>
      </c>
      <c r="F903">
        <v>31100</v>
      </c>
      <c r="G903">
        <v>4276.2</v>
      </c>
      <c r="H903" t="str">
        <f>TEXT(Orders[[#This Row],[Order_Date]],"mmmm")</f>
        <v>February</v>
      </c>
      <c r="I903">
        <f>YEAR(Orders[[#This Row],[Order_Date]])</f>
        <v>2024</v>
      </c>
      <c r="J903" t="str">
        <f>"Q"&amp;ROUNDUP(MONTH(Orders[[#This Row],[Order_Date]])/3,0)</f>
        <v>Q1</v>
      </c>
      <c r="K903" s="2">
        <f>(Orders[[#This Row],[Profit]]/Orders[[#This Row],[Sales]])*100</f>
        <v>13.749839228295818</v>
      </c>
    </row>
    <row r="904" spans="1:11" x14ac:dyDescent="0.3">
      <c r="A904" t="s">
        <v>1148</v>
      </c>
      <c r="B904" s="1">
        <v>45488</v>
      </c>
      <c r="C904" t="s">
        <v>198</v>
      </c>
      <c r="D904" t="s">
        <v>247</v>
      </c>
      <c r="E904">
        <v>2</v>
      </c>
      <c r="F904">
        <v>22312</v>
      </c>
      <c r="G904">
        <v>5467.27</v>
      </c>
      <c r="H904" t="str">
        <f>TEXT(Orders[[#This Row],[Order_Date]],"mmmm")</f>
        <v>July</v>
      </c>
      <c r="I904">
        <f>YEAR(Orders[[#This Row],[Order_Date]])</f>
        <v>2024</v>
      </c>
      <c r="J904" t="str">
        <f>"Q"&amp;ROUNDUP(MONTH(Orders[[#This Row],[Order_Date]])/3,0)</f>
        <v>Q3</v>
      </c>
      <c r="K904" s="2">
        <f>(Orders[[#This Row],[Profit]]/Orders[[#This Row],[Sales]])*100</f>
        <v>24.503719971315885</v>
      </c>
    </row>
    <row r="905" spans="1:11" x14ac:dyDescent="0.3">
      <c r="A905" t="s">
        <v>1149</v>
      </c>
      <c r="B905" s="1">
        <v>45305</v>
      </c>
      <c r="C905" t="s">
        <v>102</v>
      </c>
      <c r="D905" t="s">
        <v>233</v>
      </c>
      <c r="E905">
        <v>4</v>
      </c>
      <c r="F905">
        <v>222780</v>
      </c>
      <c r="G905">
        <v>24163.14</v>
      </c>
      <c r="H905" t="str">
        <f>TEXT(Orders[[#This Row],[Order_Date]],"mmmm")</f>
        <v>January</v>
      </c>
      <c r="I905">
        <f>YEAR(Orders[[#This Row],[Order_Date]])</f>
        <v>2024</v>
      </c>
      <c r="J905" t="str">
        <f>"Q"&amp;ROUNDUP(MONTH(Orders[[#This Row],[Order_Date]])/3,0)</f>
        <v>Q1</v>
      </c>
      <c r="K905" s="2">
        <f>(Orders[[#This Row],[Profit]]/Orders[[#This Row],[Sales]])*100</f>
        <v>10.846189065445731</v>
      </c>
    </row>
    <row r="906" spans="1:11" x14ac:dyDescent="0.3">
      <c r="A906" t="s">
        <v>1150</v>
      </c>
      <c r="B906" s="1">
        <v>45605</v>
      </c>
      <c r="C906" t="s">
        <v>212</v>
      </c>
      <c r="D906" t="s">
        <v>231</v>
      </c>
      <c r="E906">
        <v>1</v>
      </c>
      <c r="F906">
        <v>54937</v>
      </c>
      <c r="G906">
        <v>9469.9699999999993</v>
      </c>
      <c r="H906" t="str">
        <f>TEXT(Orders[[#This Row],[Order_Date]],"mmmm")</f>
        <v>November</v>
      </c>
      <c r="I906">
        <f>YEAR(Orders[[#This Row],[Order_Date]])</f>
        <v>2024</v>
      </c>
      <c r="J906" t="str">
        <f>"Q"&amp;ROUNDUP(MONTH(Orders[[#This Row],[Order_Date]])/3,0)</f>
        <v>Q4</v>
      </c>
      <c r="K906" s="2">
        <f>(Orders[[#This Row],[Profit]]/Orders[[#This Row],[Sales]])*100</f>
        <v>17.23787247210441</v>
      </c>
    </row>
    <row r="907" spans="1:11" x14ac:dyDescent="0.3">
      <c r="A907" t="s">
        <v>1151</v>
      </c>
      <c r="B907" s="1">
        <v>45529</v>
      </c>
      <c r="C907" t="s">
        <v>164</v>
      </c>
      <c r="D907" t="s">
        <v>344</v>
      </c>
      <c r="E907">
        <v>4</v>
      </c>
      <c r="F907">
        <v>36404</v>
      </c>
      <c r="G907">
        <v>6249.89</v>
      </c>
      <c r="H907" t="str">
        <f>TEXT(Orders[[#This Row],[Order_Date]],"mmmm")</f>
        <v>August</v>
      </c>
      <c r="I907">
        <f>YEAR(Orders[[#This Row],[Order_Date]])</f>
        <v>2024</v>
      </c>
      <c r="J907" t="str">
        <f>"Q"&amp;ROUNDUP(MONTH(Orders[[#This Row],[Order_Date]])/3,0)</f>
        <v>Q3</v>
      </c>
      <c r="K907" s="2">
        <f>(Orders[[#This Row],[Profit]]/Orders[[#This Row],[Sales]])*100</f>
        <v>17.168140863641359</v>
      </c>
    </row>
    <row r="908" spans="1:11" x14ac:dyDescent="0.3">
      <c r="A908" t="s">
        <v>1152</v>
      </c>
      <c r="B908" s="1">
        <v>45491</v>
      </c>
      <c r="C908" t="s">
        <v>216</v>
      </c>
      <c r="D908" t="s">
        <v>344</v>
      </c>
      <c r="E908">
        <v>5</v>
      </c>
      <c r="F908">
        <v>45505</v>
      </c>
      <c r="G908">
        <v>7579.53</v>
      </c>
      <c r="H908" t="str">
        <f>TEXT(Orders[[#This Row],[Order_Date]],"mmmm")</f>
        <v>July</v>
      </c>
      <c r="I908">
        <f>YEAR(Orders[[#This Row],[Order_Date]])</f>
        <v>2024</v>
      </c>
      <c r="J908" t="str">
        <f>"Q"&amp;ROUNDUP(MONTH(Orders[[#This Row],[Order_Date]])/3,0)</f>
        <v>Q3</v>
      </c>
      <c r="K908" s="2">
        <f>(Orders[[#This Row],[Profit]]/Orders[[#This Row],[Sales]])*100</f>
        <v>16.656477310185693</v>
      </c>
    </row>
    <row r="909" spans="1:11" x14ac:dyDescent="0.3">
      <c r="A909" t="s">
        <v>1153</v>
      </c>
      <c r="B909" s="1">
        <v>45488</v>
      </c>
      <c r="C909" t="s">
        <v>45</v>
      </c>
      <c r="D909" t="s">
        <v>239</v>
      </c>
      <c r="E909">
        <v>5</v>
      </c>
      <c r="F909">
        <v>125795</v>
      </c>
      <c r="G909">
        <v>22242.46</v>
      </c>
      <c r="H909" t="str">
        <f>TEXT(Orders[[#This Row],[Order_Date]],"mmmm")</f>
        <v>July</v>
      </c>
      <c r="I909">
        <f>YEAR(Orders[[#This Row],[Order_Date]])</f>
        <v>2024</v>
      </c>
      <c r="J909" t="str">
        <f>"Q"&amp;ROUNDUP(MONTH(Orders[[#This Row],[Order_Date]])/3,0)</f>
        <v>Q3</v>
      </c>
      <c r="K909" s="2">
        <f>(Orders[[#This Row],[Profit]]/Orders[[#This Row],[Sales]])*100</f>
        <v>17.681513573671449</v>
      </c>
    </row>
    <row r="910" spans="1:11" x14ac:dyDescent="0.3">
      <c r="A910" t="s">
        <v>1154</v>
      </c>
      <c r="B910" s="1">
        <v>45308</v>
      </c>
      <c r="C910" t="s">
        <v>41</v>
      </c>
      <c r="D910" t="s">
        <v>316</v>
      </c>
      <c r="E910">
        <v>2</v>
      </c>
      <c r="F910">
        <v>108768</v>
      </c>
      <c r="G910">
        <v>15244.07</v>
      </c>
      <c r="H910" t="str">
        <f>TEXT(Orders[[#This Row],[Order_Date]],"mmmm")</f>
        <v>January</v>
      </c>
      <c r="I910">
        <f>YEAR(Orders[[#This Row],[Order_Date]])</f>
        <v>2024</v>
      </c>
      <c r="J910" t="str">
        <f>"Q"&amp;ROUNDUP(MONTH(Orders[[#This Row],[Order_Date]])/3,0)</f>
        <v>Q1</v>
      </c>
      <c r="K910" s="2">
        <f>(Orders[[#This Row],[Profit]]/Orders[[#This Row],[Sales]])*100</f>
        <v>14.015215872315387</v>
      </c>
    </row>
    <row r="911" spans="1:11" x14ac:dyDescent="0.3">
      <c r="A911" t="s">
        <v>1155</v>
      </c>
      <c r="B911" s="1">
        <v>45296</v>
      </c>
      <c r="C911" t="s">
        <v>124</v>
      </c>
      <c r="D911" t="s">
        <v>316</v>
      </c>
      <c r="E911">
        <v>5</v>
      </c>
      <c r="F911">
        <v>271920</v>
      </c>
      <c r="G911">
        <v>36509.21</v>
      </c>
      <c r="H911" t="str">
        <f>TEXT(Orders[[#This Row],[Order_Date]],"mmmm")</f>
        <v>January</v>
      </c>
      <c r="I911">
        <f>YEAR(Orders[[#This Row],[Order_Date]])</f>
        <v>2024</v>
      </c>
      <c r="J911" t="str">
        <f>"Q"&amp;ROUNDUP(MONTH(Orders[[#This Row],[Order_Date]])/3,0)</f>
        <v>Q1</v>
      </c>
      <c r="K911" s="2">
        <f>(Orders[[#This Row],[Profit]]/Orders[[#This Row],[Sales]])*100</f>
        <v>13.42645263312739</v>
      </c>
    </row>
    <row r="912" spans="1:11" x14ac:dyDescent="0.3">
      <c r="A912" t="s">
        <v>1156</v>
      </c>
      <c r="B912" s="1">
        <v>45615</v>
      </c>
      <c r="C912" t="s">
        <v>51</v>
      </c>
      <c r="D912" t="s">
        <v>316</v>
      </c>
      <c r="E912">
        <v>4</v>
      </c>
      <c r="F912">
        <v>217536</v>
      </c>
      <c r="G912">
        <v>26668.49</v>
      </c>
      <c r="H912" t="str">
        <f>TEXT(Orders[[#This Row],[Order_Date]],"mmmm")</f>
        <v>November</v>
      </c>
      <c r="I912">
        <f>YEAR(Orders[[#This Row],[Order_Date]])</f>
        <v>2024</v>
      </c>
      <c r="J912" t="str">
        <f>"Q"&amp;ROUNDUP(MONTH(Orders[[#This Row],[Order_Date]])/3,0)</f>
        <v>Q4</v>
      </c>
      <c r="K912" s="2">
        <f>(Orders[[#This Row],[Profit]]/Orders[[#This Row],[Sales]])*100</f>
        <v>12.259345579582231</v>
      </c>
    </row>
    <row r="913" spans="1:11" x14ac:dyDescent="0.3">
      <c r="A913" t="s">
        <v>1157</v>
      </c>
      <c r="B913" s="1">
        <v>45556</v>
      </c>
      <c r="C913" t="s">
        <v>150</v>
      </c>
      <c r="D913" t="s">
        <v>239</v>
      </c>
      <c r="E913">
        <v>4</v>
      </c>
      <c r="F913">
        <v>100636</v>
      </c>
      <c r="G913">
        <v>15792.78</v>
      </c>
      <c r="H913" t="str">
        <f>TEXT(Orders[[#This Row],[Order_Date]],"mmmm")</f>
        <v>September</v>
      </c>
      <c r="I913">
        <f>YEAR(Orders[[#This Row],[Order_Date]])</f>
        <v>2024</v>
      </c>
      <c r="J913" t="str">
        <f>"Q"&amp;ROUNDUP(MONTH(Orders[[#This Row],[Order_Date]])/3,0)</f>
        <v>Q3</v>
      </c>
      <c r="K913" s="2">
        <f>(Orders[[#This Row],[Profit]]/Orders[[#This Row],[Sales]])*100</f>
        <v>15.692972693668269</v>
      </c>
    </row>
    <row r="914" spans="1:11" x14ac:dyDescent="0.3">
      <c r="A914" t="s">
        <v>1158</v>
      </c>
      <c r="B914" s="1">
        <v>45508</v>
      </c>
      <c r="C914" t="s">
        <v>94</v>
      </c>
      <c r="D914" t="s">
        <v>237</v>
      </c>
      <c r="E914">
        <v>1</v>
      </c>
      <c r="F914">
        <v>8626</v>
      </c>
      <c r="G914">
        <v>2008.74</v>
      </c>
      <c r="H914" t="str">
        <f>TEXT(Orders[[#This Row],[Order_Date]],"mmmm")</f>
        <v>August</v>
      </c>
      <c r="I914">
        <f>YEAR(Orders[[#This Row],[Order_Date]])</f>
        <v>2024</v>
      </c>
      <c r="J914" t="str">
        <f>"Q"&amp;ROUNDUP(MONTH(Orders[[#This Row],[Order_Date]])/3,0)</f>
        <v>Q3</v>
      </c>
      <c r="K914" s="2">
        <f>(Orders[[#This Row],[Profit]]/Orders[[#This Row],[Sales]])*100</f>
        <v>23.287039183862738</v>
      </c>
    </row>
    <row r="915" spans="1:11" x14ac:dyDescent="0.3">
      <c r="A915" t="s">
        <v>1159</v>
      </c>
      <c r="B915" s="1">
        <v>45477</v>
      </c>
      <c r="C915" t="s">
        <v>58</v>
      </c>
      <c r="D915" t="s">
        <v>253</v>
      </c>
      <c r="E915">
        <v>2</v>
      </c>
      <c r="F915">
        <v>12050</v>
      </c>
      <c r="G915">
        <v>1133.56</v>
      </c>
      <c r="H915" t="str">
        <f>TEXT(Orders[[#This Row],[Order_Date]],"mmmm")</f>
        <v>July</v>
      </c>
      <c r="I915">
        <f>YEAR(Orders[[#This Row],[Order_Date]])</f>
        <v>2024</v>
      </c>
      <c r="J915" t="str">
        <f>"Q"&amp;ROUNDUP(MONTH(Orders[[#This Row],[Order_Date]])/3,0)</f>
        <v>Q3</v>
      </c>
      <c r="K915" s="2">
        <f>(Orders[[#This Row],[Profit]]/Orders[[#This Row],[Sales]])*100</f>
        <v>9.4071369294605809</v>
      </c>
    </row>
    <row r="916" spans="1:11" x14ac:dyDescent="0.3">
      <c r="A916" t="s">
        <v>1160</v>
      </c>
      <c r="B916" s="1">
        <v>45630</v>
      </c>
      <c r="C916" t="s">
        <v>47</v>
      </c>
      <c r="D916" t="s">
        <v>245</v>
      </c>
      <c r="E916">
        <v>5</v>
      </c>
      <c r="F916">
        <v>121180</v>
      </c>
      <c r="G916">
        <v>16517.78</v>
      </c>
      <c r="H916" t="str">
        <f>TEXT(Orders[[#This Row],[Order_Date]],"mmmm")</f>
        <v>December</v>
      </c>
      <c r="I916">
        <f>YEAR(Orders[[#This Row],[Order_Date]])</f>
        <v>2024</v>
      </c>
      <c r="J916" t="str">
        <f>"Q"&amp;ROUNDUP(MONTH(Orders[[#This Row],[Order_Date]])/3,0)</f>
        <v>Q4</v>
      </c>
      <c r="K916" s="2">
        <f>(Orders[[#This Row],[Profit]]/Orders[[#This Row],[Sales]])*100</f>
        <v>13.630780656874069</v>
      </c>
    </row>
    <row r="917" spans="1:11" x14ac:dyDescent="0.3">
      <c r="A917" t="s">
        <v>1161</v>
      </c>
      <c r="B917" s="1">
        <v>45374</v>
      </c>
      <c r="C917" t="s">
        <v>43</v>
      </c>
      <c r="D917" t="s">
        <v>263</v>
      </c>
      <c r="E917">
        <v>5</v>
      </c>
      <c r="F917">
        <v>35775</v>
      </c>
      <c r="G917">
        <v>4793.96</v>
      </c>
      <c r="H917" t="str">
        <f>TEXT(Orders[[#This Row],[Order_Date]],"mmmm")</f>
        <v>March</v>
      </c>
      <c r="I917">
        <f>YEAR(Orders[[#This Row],[Order_Date]])</f>
        <v>2024</v>
      </c>
      <c r="J917" t="str">
        <f>"Q"&amp;ROUNDUP(MONTH(Orders[[#This Row],[Order_Date]])/3,0)</f>
        <v>Q1</v>
      </c>
      <c r="K917" s="2">
        <f>(Orders[[#This Row],[Profit]]/Orders[[#This Row],[Sales]])*100</f>
        <v>13.400307477288608</v>
      </c>
    </row>
    <row r="918" spans="1:11" x14ac:dyDescent="0.3">
      <c r="A918" t="s">
        <v>1162</v>
      </c>
      <c r="B918" s="1">
        <v>45442</v>
      </c>
      <c r="C918" t="s">
        <v>104</v>
      </c>
      <c r="D918" t="s">
        <v>237</v>
      </c>
      <c r="E918">
        <v>2</v>
      </c>
      <c r="F918">
        <v>17252</v>
      </c>
      <c r="G918">
        <v>3570.75</v>
      </c>
      <c r="H918" t="str">
        <f>TEXT(Orders[[#This Row],[Order_Date]],"mmmm")</f>
        <v>May</v>
      </c>
      <c r="I918">
        <f>YEAR(Orders[[#This Row],[Order_Date]])</f>
        <v>2024</v>
      </c>
      <c r="J918" t="str">
        <f>"Q"&amp;ROUNDUP(MONTH(Orders[[#This Row],[Order_Date]])/3,0)</f>
        <v>Q2</v>
      </c>
      <c r="K918" s="2">
        <f>(Orders[[#This Row],[Profit]]/Orders[[#This Row],[Sales]])*100</f>
        <v>20.697600278228613</v>
      </c>
    </row>
    <row r="919" spans="1:11" x14ac:dyDescent="0.3">
      <c r="A919" t="s">
        <v>1163</v>
      </c>
      <c r="B919" s="1">
        <v>45528</v>
      </c>
      <c r="C919" t="s">
        <v>162</v>
      </c>
      <c r="D919" t="s">
        <v>245</v>
      </c>
      <c r="E919">
        <v>1</v>
      </c>
      <c r="F919">
        <v>24236</v>
      </c>
      <c r="G919">
        <v>3960.56</v>
      </c>
      <c r="H919" t="str">
        <f>TEXT(Orders[[#This Row],[Order_Date]],"mmmm")</f>
        <v>August</v>
      </c>
      <c r="I919">
        <f>YEAR(Orders[[#This Row],[Order_Date]])</f>
        <v>2024</v>
      </c>
      <c r="J919" t="str">
        <f>"Q"&amp;ROUNDUP(MONTH(Orders[[#This Row],[Order_Date]])/3,0)</f>
        <v>Q3</v>
      </c>
      <c r="K919" s="2">
        <f>(Orders[[#This Row],[Profit]]/Orders[[#This Row],[Sales]])*100</f>
        <v>16.341640534741707</v>
      </c>
    </row>
    <row r="920" spans="1:11" x14ac:dyDescent="0.3">
      <c r="A920" t="s">
        <v>1164</v>
      </c>
      <c r="B920" s="1">
        <v>45618</v>
      </c>
      <c r="C920" t="s">
        <v>148</v>
      </c>
      <c r="D920" t="s">
        <v>266</v>
      </c>
      <c r="E920">
        <v>4</v>
      </c>
      <c r="F920">
        <v>44940</v>
      </c>
      <c r="G920">
        <v>6376.69</v>
      </c>
      <c r="H920" t="str">
        <f>TEXT(Orders[[#This Row],[Order_Date]],"mmmm")</f>
        <v>November</v>
      </c>
      <c r="I920">
        <f>YEAR(Orders[[#This Row],[Order_Date]])</f>
        <v>2024</v>
      </c>
      <c r="J920" t="str">
        <f>"Q"&amp;ROUNDUP(MONTH(Orders[[#This Row],[Order_Date]])/3,0)</f>
        <v>Q4</v>
      </c>
      <c r="K920" s="2">
        <f>(Orders[[#This Row],[Profit]]/Orders[[#This Row],[Sales]])*100</f>
        <v>14.189341344014238</v>
      </c>
    </row>
    <row r="921" spans="1:11" x14ac:dyDescent="0.3">
      <c r="A921" t="s">
        <v>1165</v>
      </c>
      <c r="B921" s="1">
        <v>45364</v>
      </c>
      <c r="C921" t="s">
        <v>154</v>
      </c>
      <c r="D921" t="s">
        <v>316</v>
      </c>
      <c r="E921">
        <v>2</v>
      </c>
      <c r="F921">
        <v>108768</v>
      </c>
      <c r="G921">
        <v>24177.41</v>
      </c>
      <c r="H921" t="str">
        <f>TEXT(Orders[[#This Row],[Order_Date]],"mmmm")</f>
        <v>March</v>
      </c>
      <c r="I921">
        <f>YEAR(Orders[[#This Row],[Order_Date]])</f>
        <v>2024</v>
      </c>
      <c r="J921" t="str">
        <f>"Q"&amp;ROUNDUP(MONTH(Orders[[#This Row],[Order_Date]])/3,0)</f>
        <v>Q1</v>
      </c>
      <c r="K921" s="2">
        <f>(Orders[[#This Row],[Profit]]/Orders[[#This Row],[Sales]])*100</f>
        <v>22.228421962341866</v>
      </c>
    </row>
    <row r="922" spans="1:11" x14ac:dyDescent="0.3">
      <c r="A922" t="s">
        <v>1166</v>
      </c>
      <c r="B922" s="1">
        <v>45619</v>
      </c>
      <c r="C922" t="s">
        <v>7</v>
      </c>
      <c r="D922" t="s">
        <v>257</v>
      </c>
      <c r="E922">
        <v>3</v>
      </c>
      <c r="F922">
        <v>20241</v>
      </c>
      <c r="G922">
        <v>2229.08</v>
      </c>
      <c r="H922" t="str">
        <f>TEXT(Orders[[#This Row],[Order_Date]],"mmmm")</f>
        <v>November</v>
      </c>
      <c r="I922">
        <f>YEAR(Orders[[#This Row],[Order_Date]])</f>
        <v>2024</v>
      </c>
      <c r="J922" t="str">
        <f>"Q"&amp;ROUNDUP(MONTH(Orders[[#This Row],[Order_Date]])/3,0)</f>
        <v>Q4</v>
      </c>
      <c r="K922" s="2">
        <f>(Orders[[#This Row],[Profit]]/Orders[[#This Row],[Sales]])*100</f>
        <v>11.012697001136306</v>
      </c>
    </row>
    <row r="923" spans="1:11" x14ac:dyDescent="0.3">
      <c r="A923" t="s">
        <v>1167</v>
      </c>
      <c r="B923" s="1">
        <v>45526</v>
      </c>
      <c r="C923" t="s">
        <v>58</v>
      </c>
      <c r="D923" t="s">
        <v>263</v>
      </c>
      <c r="E923">
        <v>2</v>
      </c>
      <c r="F923">
        <v>14310</v>
      </c>
      <c r="G923">
        <v>2832</v>
      </c>
      <c r="H923" t="str">
        <f>TEXT(Orders[[#This Row],[Order_Date]],"mmmm")</f>
        <v>August</v>
      </c>
      <c r="I923">
        <f>YEAR(Orders[[#This Row],[Order_Date]])</f>
        <v>2024</v>
      </c>
      <c r="J923" t="str">
        <f>"Q"&amp;ROUNDUP(MONTH(Orders[[#This Row],[Order_Date]])/3,0)</f>
        <v>Q3</v>
      </c>
      <c r="K923" s="2">
        <f>(Orders[[#This Row],[Profit]]/Orders[[#This Row],[Sales]])*100</f>
        <v>19.790356394129979</v>
      </c>
    </row>
    <row r="924" spans="1:11" x14ac:dyDescent="0.3">
      <c r="A924" t="s">
        <v>1168</v>
      </c>
      <c r="B924" s="1">
        <v>45491</v>
      </c>
      <c r="C924" t="s">
        <v>54</v>
      </c>
      <c r="D924" t="s">
        <v>237</v>
      </c>
      <c r="E924">
        <v>4</v>
      </c>
      <c r="F924">
        <v>34504</v>
      </c>
      <c r="G924">
        <v>5730.99</v>
      </c>
      <c r="H924" t="str">
        <f>TEXT(Orders[[#This Row],[Order_Date]],"mmmm")</f>
        <v>July</v>
      </c>
      <c r="I924">
        <f>YEAR(Orders[[#This Row],[Order_Date]])</f>
        <v>2024</v>
      </c>
      <c r="J924" t="str">
        <f>"Q"&amp;ROUNDUP(MONTH(Orders[[#This Row],[Order_Date]])/3,0)</f>
        <v>Q3</v>
      </c>
      <c r="K924" s="2">
        <f>(Orders[[#This Row],[Profit]]/Orders[[#This Row],[Sales]])*100</f>
        <v>16.609639462091351</v>
      </c>
    </row>
    <row r="925" spans="1:11" x14ac:dyDescent="0.3">
      <c r="A925" t="s">
        <v>1169</v>
      </c>
      <c r="B925" s="1">
        <v>45622</v>
      </c>
      <c r="C925" t="s">
        <v>120</v>
      </c>
      <c r="D925" t="s">
        <v>235</v>
      </c>
      <c r="E925">
        <v>4</v>
      </c>
      <c r="F925">
        <v>45368</v>
      </c>
      <c r="G925">
        <v>7826.9</v>
      </c>
      <c r="H925" t="str">
        <f>TEXT(Orders[[#This Row],[Order_Date]],"mmmm")</f>
        <v>November</v>
      </c>
      <c r="I925">
        <f>YEAR(Orders[[#This Row],[Order_Date]])</f>
        <v>2024</v>
      </c>
      <c r="J925" t="str">
        <f>"Q"&amp;ROUNDUP(MONTH(Orders[[#This Row],[Order_Date]])/3,0)</f>
        <v>Q4</v>
      </c>
      <c r="K925" s="2">
        <f>(Orders[[#This Row],[Profit]]/Orders[[#This Row],[Sales]])*100</f>
        <v>17.252027861047434</v>
      </c>
    </row>
    <row r="926" spans="1:11" x14ac:dyDescent="0.3">
      <c r="A926" t="s">
        <v>1170</v>
      </c>
      <c r="B926" s="1">
        <v>45356</v>
      </c>
      <c r="C926" t="s">
        <v>148</v>
      </c>
      <c r="D926" t="s">
        <v>283</v>
      </c>
      <c r="E926">
        <v>4</v>
      </c>
      <c r="F926">
        <v>216748</v>
      </c>
      <c r="G926">
        <v>27661.65</v>
      </c>
      <c r="H926" t="str">
        <f>TEXT(Orders[[#This Row],[Order_Date]],"mmmm")</f>
        <v>March</v>
      </c>
      <c r="I926">
        <f>YEAR(Orders[[#This Row],[Order_Date]])</f>
        <v>2024</v>
      </c>
      <c r="J926" t="str">
        <f>"Q"&amp;ROUNDUP(MONTH(Orders[[#This Row],[Order_Date]])/3,0)</f>
        <v>Q1</v>
      </c>
      <c r="K926" s="2">
        <f>(Orders[[#This Row],[Profit]]/Orders[[#This Row],[Sales]])*100</f>
        <v>12.762124679351135</v>
      </c>
    </row>
    <row r="927" spans="1:11" x14ac:dyDescent="0.3">
      <c r="A927" t="s">
        <v>1171</v>
      </c>
      <c r="B927" s="1">
        <v>45432</v>
      </c>
      <c r="C927" t="s">
        <v>190</v>
      </c>
      <c r="D927" t="s">
        <v>263</v>
      </c>
      <c r="E927">
        <v>4</v>
      </c>
      <c r="F927">
        <v>28620</v>
      </c>
      <c r="G927">
        <v>2460.65</v>
      </c>
      <c r="H927" t="str">
        <f>TEXT(Orders[[#This Row],[Order_Date]],"mmmm")</f>
        <v>May</v>
      </c>
      <c r="I927">
        <f>YEAR(Orders[[#This Row],[Order_Date]])</f>
        <v>2024</v>
      </c>
      <c r="J927" t="str">
        <f>"Q"&amp;ROUNDUP(MONTH(Orders[[#This Row],[Order_Date]])/3,0)</f>
        <v>Q2</v>
      </c>
      <c r="K927" s="2">
        <f>(Orders[[#This Row],[Profit]]/Orders[[#This Row],[Sales]])*100</f>
        <v>8.5976589797344509</v>
      </c>
    </row>
    <row r="928" spans="1:11" x14ac:dyDescent="0.3">
      <c r="A928" t="s">
        <v>1172</v>
      </c>
      <c r="B928" s="1">
        <v>45491</v>
      </c>
      <c r="C928" t="s">
        <v>176</v>
      </c>
      <c r="D928" t="s">
        <v>260</v>
      </c>
      <c r="E928">
        <v>4</v>
      </c>
      <c r="F928">
        <v>223800</v>
      </c>
      <c r="G928">
        <v>26180.34</v>
      </c>
      <c r="H928" t="str">
        <f>TEXT(Orders[[#This Row],[Order_Date]],"mmmm")</f>
        <v>July</v>
      </c>
      <c r="I928">
        <f>YEAR(Orders[[#This Row],[Order_Date]])</f>
        <v>2024</v>
      </c>
      <c r="J928" t="str">
        <f>"Q"&amp;ROUNDUP(MONTH(Orders[[#This Row],[Order_Date]])/3,0)</f>
        <v>Q3</v>
      </c>
      <c r="K928" s="2">
        <f>(Orders[[#This Row],[Profit]]/Orders[[#This Row],[Sales]])*100</f>
        <v>11.698096514745309</v>
      </c>
    </row>
    <row r="929" spans="1:11" x14ac:dyDescent="0.3">
      <c r="A929" t="s">
        <v>1173</v>
      </c>
      <c r="B929" s="1">
        <v>45633</v>
      </c>
      <c r="C929" t="s">
        <v>132</v>
      </c>
      <c r="D929" t="s">
        <v>247</v>
      </c>
      <c r="E929">
        <v>3</v>
      </c>
      <c r="F929">
        <v>33468</v>
      </c>
      <c r="G929">
        <v>6705.99</v>
      </c>
      <c r="H929" t="str">
        <f>TEXT(Orders[[#This Row],[Order_Date]],"mmmm")</f>
        <v>December</v>
      </c>
      <c r="I929">
        <f>YEAR(Orders[[#This Row],[Order_Date]])</f>
        <v>2024</v>
      </c>
      <c r="J929" t="str">
        <f>"Q"&amp;ROUNDUP(MONTH(Orders[[#This Row],[Order_Date]])/3,0)</f>
        <v>Q4</v>
      </c>
      <c r="K929" s="2">
        <f>(Orders[[#This Row],[Profit]]/Orders[[#This Row],[Sales]])*100</f>
        <v>20.037020437432769</v>
      </c>
    </row>
    <row r="930" spans="1:11" x14ac:dyDescent="0.3">
      <c r="A930" t="s">
        <v>1174</v>
      </c>
      <c r="B930" s="1">
        <v>45583</v>
      </c>
      <c r="C930" t="s">
        <v>58</v>
      </c>
      <c r="D930" t="s">
        <v>279</v>
      </c>
      <c r="E930">
        <v>5</v>
      </c>
      <c r="F930">
        <v>31100</v>
      </c>
      <c r="G930">
        <v>6584</v>
      </c>
      <c r="H930" t="str">
        <f>TEXT(Orders[[#This Row],[Order_Date]],"mmmm")</f>
        <v>October</v>
      </c>
      <c r="I930">
        <f>YEAR(Orders[[#This Row],[Order_Date]])</f>
        <v>2024</v>
      </c>
      <c r="J930" t="str">
        <f>"Q"&amp;ROUNDUP(MONTH(Orders[[#This Row],[Order_Date]])/3,0)</f>
        <v>Q4</v>
      </c>
      <c r="K930" s="2">
        <f>(Orders[[#This Row],[Profit]]/Orders[[#This Row],[Sales]])*100</f>
        <v>21.170418006430868</v>
      </c>
    </row>
    <row r="931" spans="1:11" x14ac:dyDescent="0.3">
      <c r="A931" t="s">
        <v>1175</v>
      </c>
      <c r="B931" s="1">
        <v>45599</v>
      </c>
      <c r="C931" t="s">
        <v>218</v>
      </c>
      <c r="D931" t="s">
        <v>316</v>
      </c>
      <c r="E931">
        <v>3</v>
      </c>
      <c r="F931">
        <v>163152</v>
      </c>
      <c r="G931">
        <v>17297.990000000002</v>
      </c>
      <c r="H931" t="str">
        <f>TEXT(Orders[[#This Row],[Order_Date]],"mmmm")</f>
        <v>November</v>
      </c>
      <c r="I931">
        <f>YEAR(Orders[[#This Row],[Order_Date]])</f>
        <v>2024</v>
      </c>
      <c r="J931" t="str">
        <f>"Q"&amp;ROUNDUP(MONTH(Orders[[#This Row],[Order_Date]])/3,0)</f>
        <v>Q4</v>
      </c>
      <c r="K931" s="2">
        <f>(Orders[[#This Row],[Profit]]/Orders[[#This Row],[Sales]])*100</f>
        <v>10.602376924585663</v>
      </c>
    </row>
    <row r="932" spans="1:11" x14ac:dyDescent="0.3">
      <c r="A932" t="s">
        <v>1176</v>
      </c>
      <c r="B932" s="1">
        <v>45635</v>
      </c>
      <c r="C932" t="s">
        <v>182</v>
      </c>
      <c r="D932" t="s">
        <v>237</v>
      </c>
      <c r="E932">
        <v>5</v>
      </c>
      <c r="F932">
        <v>43130</v>
      </c>
      <c r="G932">
        <v>6334.79</v>
      </c>
      <c r="H932" t="str">
        <f>TEXT(Orders[[#This Row],[Order_Date]],"mmmm")</f>
        <v>December</v>
      </c>
      <c r="I932">
        <f>YEAR(Orders[[#This Row],[Order_Date]])</f>
        <v>2024</v>
      </c>
      <c r="J932" t="str">
        <f>"Q"&amp;ROUNDUP(MONTH(Orders[[#This Row],[Order_Date]])/3,0)</f>
        <v>Q4</v>
      </c>
      <c r="K932" s="2">
        <f>(Orders[[#This Row],[Profit]]/Orders[[#This Row],[Sales]])*100</f>
        <v>14.687665198237884</v>
      </c>
    </row>
    <row r="933" spans="1:11" x14ac:dyDescent="0.3">
      <c r="A933" t="s">
        <v>1177</v>
      </c>
      <c r="B933" s="1">
        <v>45633</v>
      </c>
      <c r="C933" t="s">
        <v>37</v>
      </c>
      <c r="D933" t="s">
        <v>237</v>
      </c>
      <c r="E933">
        <v>1</v>
      </c>
      <c r="F933">
        <v>8626</v>
      </c>
      <c r="G933">
        <v>1945.49</v>
      </c>
      <c r="H933" t="str">
        <f>TEXT(Orders[[#This Row],[Order_Date]],"mmmm")</f>
        <v>December</v>
      </c>
      <c r="I933">
        <f>YEAR(Orders[[#This Row],[Order_Date]])</f>
        <v>2024</v>
      </c>
      <c r="J933" t="str">
        <f>"Q"&amp;ROUNDUP(MONTH(Orders[[#This Row],[Order_Date]])/3,0)</f>
        <v>Q4</v>
      </c>
      <c r="K933" s="2">
        <f>(Orders[[#This Row],[Profit]]/Orders[[#This Row],[Sales]])*100</f>
        <v>22.553790864827267</v>
      </c>
    </row>
    <row r="934" spans="1:11" x14ac:dyDescent="0.3">
      <c r="A934" t="s">
        <v>1178</v>
      </c>
      <c r="B934" s="1">
        <v>45323</v>
      </c>
      <c r="C934" t="s">
        <v>37</v>
      </c>
      <c r="D934" t="s">
        <v>237</v>
      </c>
      <c r="E934">
        <v>2</v>
      </c>
      <c r="F934">
        <v>17252</v>
      </c>
      <c r="G934">
        <v>2988.48</v>
      </c>
      <c r="H934" t="str">
        <f>TEXT(Orders[[#This Row],[Order_Date]],"mmmm")</f>
        <v>February</v>
      </c>
      <c r="I934">
        <f>YEAR(Orders[[#This Row],[Order_Date]])</f>
        <v>2024</v>
      </c>
      <c r="J934" t="str">
        <f>"Q"&amp;ROUNDUP(MONTH(Orders[[#This Row],[Order_Date]])/3,0)</f>
        <v>Q1</v>
      </c>
      <c r="K934" s="2">
        <f>(Orders[[#This Row],[Profit]]/Orders[[#This Row],[Sales]])*100</f>
        <v>17.322513331787619</v>
      </c>
    </row>
    <row r="935" spans="1:11" x14ac:dyDescent="0.3">
      <c r="A935" t="s">
        <v>1179</v>
      </c>
      <c r="B935" s="1">
        <v>45631</v>
      </c>
      <c r="C935" t="s">
        <v>72</v>
      </c>
      <c r="D935" t="s">
        <v>283</v>
      </c>
      <c r="E935">
        <v>3</v>
      </c>
      <c r="F935">
        <v>162561</v>
      </c>
      <c r="G935">
        <v>31850.74</v>
      </c>
      <c r="H935" t="str">
        <f>TEXT(Orders[[#This Row],[Order_Date]],"mmmm")</f>
        <v>December</v>
      </c>
      <c r="I935">
        <f>YEAR(Orders[[#This Row],[Order_Date]])</f>
        <v>2024</v>
      </c>
      <c r="J935" t="str">
        <f>"Q"&amp;ROUNDUP(MONTH(Orders[[#This Row],[Order_Date]])/3,0)</f>
        <v>Q4</v>
      </c>
      <c r="K935" s="2">
        <f>(Orders[[#This Row],[Profit]]/Orders[[#This Row],[Sales]])*100</f>
        <v>19.59310043614397</v>
      </c>
    </row>
    <row r="936" spans="1:11" x14ac:dyDescent="0.3">
      <c r="A936" t="s">
        <v>1180</v>
      </c>
      <c r="B936" s="1">
        <v>45473</v>
      </c>
      <c r="C936" t="s">
        <v>110</v>
      </c>
      <c r="D936" t="s">
        <v>263</v>
      </c>
      <c r="E936">
        <v>2</v>
      </c>
      <c r="F936">
        <v>14310</v>
      </c>
      <c r="G936">
        <v>2141.65</v>
      </c>
      <c r="H936" t="str">
        <f>TEXT(Orders[[#This Row],[Order_Date]],"mmmm")</f>
        <v>June</v>
      </c>
      <c r="I936">
        <f>YEAR(Orders[[#This Row],[Order_Date]])</f>
        <v>2024</v>
      </c>
      <c r="J936" t="str">
        <f>"Q"&amp;ROUNDUP(MONTH(Orders[[#This Row],[Order_Date]])/3,0)</f>
        <v>Q2</v>
      </c>
      <c r="K936" s="2">
        <f>(Orders[[#This Row],[Profit]]/Orders[[#This Row],[Sales]])*100</f>
        <v>14.966107617051014</v>
      </c>
    </row>
    <row r="937" spans="1:11" x14ac:dyDescent="0.3">
      <c r="A937" t="s">
        <v>1181</v>
      </c>
      <c r="B937" s="1">
        <v>45549</v>
      </c>
      <c r="C937" t="s">
        <v>47</v>
      </c>
      <c r="D937" t="s">
        <v>283</v>
      </c>
      <c r="E937">
        <v>4</v>
      </c>
      <c r="F937">
        <v>216748</v>
      </c>
      <c r="G937">
        <v>47986.07</v>
      </c>
      <c r="H937" t="str">
        <f>TEXT(Orders[[#This Row],[Order_Date]],"mmmm")</f>
        <v>September</v>
      </c>
      <c r="I937">
        <f>YEAR(Orders[[#This Row],[Order_Date]])</f>
        <v>2024</v>
      </c>
      <c r="J937" t="str">
        <f>"Q"&amp;ROUNDUP(MONTH(Orders[[#This Row],[Order_Date]])/3,0)</f>
        <v>Q3</v>
      </c>
      <c r="K937" s="2">
        <f>(Orders[[#This Row],[Profit]]/Orders[[#This Row],[Sales]])*100</f>
        <v>22.13910624319486</v>
      </c>
    </row>
    <row r="938" spans="1:11" x14ac:dyDescent="0.3">
      <c r="A938" t="s">
        <v>1182</v>
      </c>
      <c r="B938" s="1">
        <v>45599</v>
      </c>
      <c r="C938" t="s">
        <v>45</v>
      </c>
      <c r="D938" t="s">
        <v>344</v>
      </c>
      <c r="E938">
        <v>1</v>
      </c>
      <c r="F938">
        <v>9101</v>
      </c>
      <c r="G938">
        <v>957.38</v>
      </c>
      <c r="H938" t="str">
        <f>TEXT(Orders[[#This Row],[Order_Date]],"mmmm")</f>
        <v>November</v>
      </c>
      <c r="I938">
        <f>YEAR(Orders[[#This Row],[Order_Date]])</f>
        <v>2024</v>
      </c>
      <c r="J938" t="str">
        <f>"Q"&amp;ROUNDUP(MONTH(Orders[[#This Row],[Order_Date]])/3,0)</f>
        <v>Q4</v>
      </c>
      <c r="K938" s="2">
        <f>(Orders[[#This Row],[Profit]]/Orders[[#This Row],[Sales]])*100</f>
        <v>10.519503351280079</v>
      </c>
    </row>
    <row r="939" spans="1:11" x14ac:dyDescent="0.3">
      <c r="A939" t="s">
        <v>1183</v>
      </c>
      <c r="B939" s="1">
        <v>45634</v>
      </c>
      <c r="C939" t="s">
        <v>202</v>
      </c>
      <c r="D939" t="s">
        <v>263</v>
      </c>
      <c r="E939">
        <v>2</v>
      </c>
      <c r="F939">
        <v>14310</v>
      </c>
      <c r="G939">
        <v>1310.6400000000001</v>
      </c>
      <c r="H939" t="str">
        <f>TEXT(Orders[[#This Row],[Order_Date]],"mmmm")</f>
        <v>December</v>
      </c>
      <c r="I939">
        <f>YEAR(Orders[[#This Row],[Order_Date]])</f>
        <v>2024</v>
      </c>
      <c r="J939" t="str">
        <f>"Q"&amp;ROUNDUP(MONTH(Orders[[#This Row],[Order_Date]])/3,0)</f>
        <v>Q4</v>
      </c>
      <c r="K939" s="2">
        <f>(Orders[[#This Row],[Profit]]/Orders[[#This Row],[Sales]])*100</f>
        <v>9.1589098532494759</v>
      </c>
    </row>
    <row r="940" spans="1:11" x14ac:dyDescent="0.3">
      <c r="A940" t="s">
        <v>1184</v>
      </c>
      <c r="B940" s="1">
        <v>45650</v>
      </c>
      <c r="C940" t="s">
        <v>60</v>
      </c>
      <c r="D940" t="s">
        <v>266</v>
      </c>
      <c r="E940">
        <v>5</v>
      </c>
      <c r="F940">
        <v>56175</v>
      </c>
      <c r="G940">
        <v>4720.37</v>
      </c>
      <c r="H940" t="str">
        <f>TEXT(Orders[[#This Row],[Order_Date]],"mmmm")</f>
        <v>December</v>
      </c>
      <c r="I940">
        <f>YEAR(Orders[[#This Row],[Order_Date]])</f>
        <v>2024</v>
      </c>
      <c r="J940" t="str">
        <f>"Q"&amp;ROUNDUP(MONTH(Orders[[#This Row],[Order_Date]])/3,0)</f>
        <v>Q4</v>
      </c>
      <c r="K940" s="2">
        <f>(Orders[[#This Row],[Profit]]/Orders[[#This Row],[Sales]])*100</f>
        <v>8.4029728526924785</v>
      </c>
    </row>
    <row r="941" spans="1:11" x14ac:dyDescent="0.3">
      <c r="A941" t="s">
        <v>1185</v>
      </c>
      <c r="B941" s="1">
        <v>45523</v>
      </c>
      <c r="C941" t="s">
        <v>178</v>
      </c>
      <c r="D941" t="s">
        <v>279</v>
      </c>
      <c r="E941">
        <v>3</v>
      </c>
      <c r="F941">
        <v>18660</v>
      </c>
      <c r="G941">
        <v>3995.46</v>
      </c>
      <c r="H941" t="str">
        <f>TEXT(Orders[[#This Row],[Order_Date]],"mmmm")</f>
        <v>August</v>
      </c>
      <c r="I941">
        <f>YEAR(Orders[[#This Row],[Order_Date]])</f>
        <v>2024</v>
      </c>
      <c r="J941" t="str">
        <f>"Q"&amp;ROUNDUP(MONTH(Orders[[#This Row],[Order_Date]])/3,0)</f>
        <v>Q3</v>
      </c>
      <c r="K941" s="2">
        <f>(Orders[[#This Row],[Profit]]/Orders[[#This Row],[Sales]])*100</f>
        <v>21.411897106109326</v>
      </c>
    </row>
    <row r="942" spans="1:11" x14ac:dyDescent="0.3">
      <c r="A942" t="s">
        <v>1186</v>
      </c>
      <c r="B942" s="1">
        <v>45304</v>
      </c>
      <c r="C942" t="s">
        <v>29</v>
      </c>
      <c r="D942" t="s">
        <v>247</v>
      </c>
      <c r="E942">
        <v>3</v>
      </c>
      <c r="F942">
        <v>33468</v>
      </c>
      <c r="G942">
        <v>3584.28</v>
      </c>
      <c r="H942" t="str">
        <f>TEXT(Orders[[#This Row],[Order_Date]],"mmmm")</f>
        <v>January</v>
      </c>
      <c r="I942">
        <f>YEAR(Orders[[#This Row],[Order_Date]])</f>
        <v>2024</v>
      </c>
      <c r="J942" t="str">
        <f>"Q"&amp;ROUNDUP(MONTH(Orders[[#This Row],[Order_Date]])/3,0)</f>
        <v>Q1</v>
      </c>
      <c r="K942" s="2">
        <f>(Orders[[#This Row],[Profit]]/Orders[[#This Row],[Sales]])*100</f>
        <v>10.709573323771963</v>
      </c>
    </row>
    <row r="943" spans="1:11" x14ac:dyDescent="0.3">
      <c r="A943" t="s">
        <v>1187</v>
      </c>
      <c r="B943" s="1">
        <v>45421</v>
      </c>
      <c r="C943" t="s">
        <v>178</v>
      </c>
      <c r="D943" t="s">
        <v>233</v>
      </c>
      <c r="E943">
        <v>1</v>
      </c>
      <c r="F943">
        <v>55695</v>
      </c>
      <c r="G943">
        <v>12452.45</v>
      </c>
      <c r="H943" t="str">
        <f>TEXT(Orders[[#This Row],[Order_Date]],"mmmm")</f>
        <v>May</v>
      </c>
      <c r="I943">
        <f>YEAR(Orders[[#This Row],[Order_Date]])</f>
        <v>2024</v>
      </c>
      <c r="J943" t="str">
        <f>"Q"&amp;ROUNDUP(MONTH(Orders[[#This Row],[Order_Date]])/3,0)</f>
        <v>Q2</v>
      </c>
      <c r="K943" s="2">
        <f>(Orders[[#This Row],[Profit]]/Orders[[#This Row],[Sales]])*100</f>
        <v>22.358290690367181</v>
      </c>
    </row>
    <row r="944" spans="1:11" x14ac:dyDescent="0.3">
      <c r="A944" t="s">
        <v>1188</v>
      </c>
      <c r="B944" s="1">
        <v>45584</v>
      </c>
      <c r="C944" t="s">
        <v>45</v>
      </c>
      <c r="D944" t="s">
        <v>227</v>
      </c>
      <c r="E944">
        <v>3</v>
      </c>
      <c r="F944">
        <v>28182</v>
      </c>
      <c r="G944">
        <v>6013.8</v>
      </c>
      <c r="H944" t="str">
        <f>TEXT(Orders[[#This Row],[Order_Date]],"mmmm")</f>
        <v>October</v>
      </c>
      <c r="I944">
        <f>YEAR(Orders[[#This Row],[Order_Date]])</f>
        <v>2024</v>
      </c>
      <c r="J944" t="str">
        <f>"Q"&amp;ROUNDUP(MONTH(Orders[[#This Row],[Order_Date]])/3,0)</f>
        <v>Q4</v>
      </c>
      <c r="K944" s="2">
        <f>(Orders[[#This Row],[Profit]]/Orders[[#This Row],[Sales]])*100</f>
        <v>21.339152650628058</v>
      </c>
    </row>
    <row r="945" spans="1:11" x14ac:dyDescent="0.3">
      <c r="A945" t="s">
        <v>1189</v>
      </c>
      <c r="B945" s="1">
        <v>45359</v>
      </c>
      <c r="C945" t="s">
        <v>146</v>
      </c>
      <c r="D945" t="s">
        <v>316</v>
      </c>
      <c r="E945">
        <v>2</v>
      </c>
      <c r="F945">
        <v>108768</v>
      </c>
      <c r="G945">
        <v>25751.74</v>
      </c>
      <c r="H945" t="str">
        <f>TEXT(Orders[[#This Row],[Order_Date]],"mmmm")</f>
        <v>March</v>
      </c>
      <c r="I945">
        <f>YEAR(Orders[[#This Row],[Order_Date]])</f>
        <v>2024</v>
      </c>
      <c r="J945" t="str">
        <f>"Q"&amp;ROUNDUP(MONTH(Orders[[#This Row],[Order_Date]])/3,0)</f>
        <v>Q1</v>
      </c>
      <c r="K945" s="2">
        <f>(Orders[[#This Row],[Profit]]/Orders[[#This Row],[Sales]])*100</f>
        <v>23.675842159458664</v>
      </c>
    </row>
    <row r="946" spans="1:11" x14ac:dyDescent="0.3">
      <c r="A946" t="s">
        <v>1190</v>
      </c>
      <c r="B946" s="1">
        <v>45639</v>
      </c>
      <c r="C946" t="s">
        <v>92</v>
      </c>
      <c r="D946" t="s">
        <v>344</v>
      </c>
      <c r="E946">
        <v>2</v>
      </c>
      <c r="F946">
        <v>18202</v>
      </c>
      <c r="G946">
        <v>1943.45</v>
      </c>
      <c r="H946" t="str">
        <f>TEXT(Orders[[#This Row],[Order_Date]],"mmmm")</f>
        <v>December</v>
      </c>
      <c r="I946">
        <f>YEAR(Orders[[#This Row],[Order_Date]])</f>
        <v>2024</v>
      </c>
      <c r="J946" t="str">
        <f>"Q"&amp;ROUNDUP(MONTH(Orders[[#This Row],[Order_Date]])/3,0)</f>
        <v>Q4</v>
      </c>
      <c r="K946" s="2">
        <f>(Orders[[#This Row],[Profit]]/Orders[[#This Row],[Sales]])*100</f>
        <v>10.677123393033733</v>
      </c>
    </row>
    <row r="947" spans="1:11" x14ac:dyDescent="0.3">
      <c r="A947" t="s">
        <v>1191</v>
      </c>
      <c r="B947" s="1">
        <v>45347</v>
      </c>
      <c r="C947" t="s">
        <v>64</v>
      </c>
      <c r="D947" t="s">
        <v>227</v>
      </c>
      <c r="E947">
        <v>5</v>
      </c>
      <c r="F947">
        <v>46970</v>
      </c>
      <c r="G947">
        <v>8683.7000000000007</v>
      </c>
      <c r="H947" t="str">
        <f>TEXT(Orders[[#This Row],[Order_Date]],"mmmm")</f>
        <v>February</v>
      </c>
      <c r="I947">
        <f>YEAR(Orders[[#This Row],[Order_Date]])</f>
        <v>2024</v>
      </c>
      <c r="J947" t="str">
        <f>"Q"&amp;ROUNDUP(MONTH(Orders[[#This Row],[Order_Date]])/3,0)</f>
        <v>Q1</v>
      </c>
      <c r="K947" s="2">
        <f>(Orders[[#This Row],[Profit]]/Orders[[#This Row],[Sales]])*100</f>
        <v>18.487758143495849</v>
      </c>
    </row>
    <row r="948" spans="1:11" x14ac:dyDescent="0.3">
      <c r="A948" t="s">
        <v>1192</v>
      </c>
      <c r="B948" s="1">
        <v>45618</v>
      </c>
      <c r="C948" t="s">
        <v>7</v>
      </c>
      <c r="D948" t="s">
        <v>263</v>
      </c>
      <c r="E948">
        <v>5</v>
      </c>
      <c r="F948">
        <v>35775</v>
      </c>
      <c r="G948">
        <v>5085.4799999999996</v>
      </c>
      <c r="H948" t="str">
        <f>TEXT(Orders[[#This Row],[Order_Date]],"mmmm")</f>
        <v>November</v>
      </c>
      <c r="I948">
        <f>YEAR(Orders[[#This Row],[Order_Date]])</f>
        <v>2024</v>
      </c>
      <c r="J948" t="str">
        <f>"Q"&amp;ROUNDUP(MONTH(Orders[[#This Row],[Order_Date]])/3,0)</f>
        <v>Q4</v>
      </c>
      <c r="K948" s="2">
        <f>(Orders[[#This Row],[Profit]]/Orders[[#This Row],[Sales]])*100</f>
        <v>14.215178197064986</v>
      </c>
    </row>
    <row r="949" spans="1:11" x14ac:dyDescent="0.3">
      <c r="A949" t="s">
        <v>1193</v>
      </c>
      <c r="B949" s="1">
        <v>45410</v>
      </c>
      <c r="C949" t="s">
        <v>62</v>
      </c>
      <c r="D949" t="s">
        <v>231</v>
      </c>
      <c r="E949">
        <v>1</v>
      </c>
      <c r="F949">
        <v>54937</v>
      </c>
      <c r="G949">
        <v>5148.13</v>
      </c>
      <c r="H949" t="str">
        <f>TEXT(Orders[[#This Row],[Order_Date]],"mmmm")</f>
        <v>April</v>
      </c>
      <c r="I949">
        <f>YEAR(Orders[[#This Row],[Order_Date]])</f>
        <v>2024</v>
      </c>
      <c r="J949" t="str">
        <f>"Q"&amp;ROUNDUP(MONTH(Orders[[#This Row],[Order_Date]])/3,0)</f>
        <v>Q2</v>
      </c>
      <c r="K949" s="2">
        <f>(Orders[[#This Row],[Profit]]/Orders[[#This Row],[Sales]])*100</f>
        <v>9.3709703842583334</v>
      </c>
    </row>
    <row r="950" spans="1:11" x14ac:dyDescent="0.3">
      <c r="A950" t="s">
        <v>1194</v>
      </c>
      <c r="B950" s="1">
        <v>45446</v>
      </c>
      <c r="C950" t="s">
        <v>116</v>
      </c>
      <c r="D950" t="s">
        <v>279</v>
      </c>
      <c r="E950">
        <v>5</v>
      </c>
      <c r="F950">
        <v>31100</v>
      </c>
      <c r="G950">
        <v>3205.55</v>
      </c>
      <c r="H950" t="str">
        <f>TEXT(Orders[[#This Row],[Order_Date]],"mmmm")</f>
        <v>June</v>
      </c>
      <c r="I950">
        <f>YEAR(Orders[[#This Row],[Order_Date]])</f>
        <v>2024</v>
      </c>
      <c r="J950" t="str">
        <f>"Q"&amp;ROUNDUP(MONTH(Orders[[#This Row],[Order_Date]])/3,0)</f>
        <v>Q2</v>
      </c>
      <c r="K950" s="2">
        <f>(Orders[[#This Row],[Profit]]/Orders[[#This Row],[Sales]])*100</f>
        <v>10.307234726688105</v>
      </c>
    </row>
    <row r="951" spans="1:11" x14ac:dyDescent="0.3">
      <c r="A951" t="s">
        <v>1195</v>
      </c>
      <c r="B951" s="1">
        <v>45445</v>
      </c>
      <c r="C951" t="s">
        <v>54</v>
      </c>
      <c r="D951" t="s">
        <v>279</v>
      </c>
      <c r="E951">
        <v>5</v>
      </c>
      <c r="F951">
        <v>31100</v>
      </c>
      <c r="G951">
        <v>7686.03</v>
      </c>
      <c r="H951" t="str">
        <f>TEXT(Orders[[#This Row],[Order_Date]],"mmmm")</f>
        <v>June</v>
      </c>
      <c r="I951">
        <f>YEAR(Orders[[#This Row],[Order_Date]])</f>
        <v>2024</v>
      </c>
      <c r="J951" t="str">
        <f>"Q"&amp;ROUNDUP(MONTH(Orders[[#This Row],[Order_Date]])/3,0)</f>
        <v>Q2</v>
      </c>
      <c r="K951" s="2">
        <f>(Orders[[#This Row],[Profit]]/Orders[[#This Row],[Sales]])*100</f>
        <v>24.713922829581993</v>
      </c>
    </row>
    <row r="952" spans="1:11" x14ac:dyDescent="0.3">
      <c r="A952" t="s">
        <v>1196</v>
      </c>
      <c r="B952" s="1">
        <v>45619</v>
      </c>
      <c r="C952" t="s">
        <v>152</v>
      </c>
      <c r="D952" t="s">
        <v>239</v>
      </c>
      <c r="E952">
        <v>2</v>
      </c>
      <c r="F952">
        <v>50318</v>
      </c>
      <c r="G952">
        <v>7789.61</v>
      </c>
      <c r="H952" t="str">
        <f>TEXT(Orders[[#This Row],[Order_Date]],"mmmm")</f>
        <v>November</v>
      </c>
      <c r="I952">
        <f>YEAR(Orders[[#This Row],[Order_Date]])</f>
        <v>2024</v>
      </c>
      <c r="J952" t="str">
        <f>"Q"&amp;ROUNDUP(MONTH(Orders[[#This Row],[Order_Date]])/3,0)</f>
        <v>Q4</v>
      </c>
      <c r="K952" s="2">
        <f>(Orders[[#This Row],[Profit]]/Orders[[#This Row],[Sales]])*100</f>
        <v>15.48076235144481</v>
      </c>
    </row>
    <row r="953" spans="1:11" x14ac:dyDescent="0.3">
      <c r="A953" t="s">
        <v>1197</v>
      </c>
      <c r="B953" s="1">
        <v>45494</v>
      </c>
      <c r="C953" t="s">
        <v>212</v>
      </c>
      <c r="D953" t="s">
        <v>239</v>
      </c>
      <c r="E953">
        <v>1</v>
      </c>
      <c r="F953">
        <v>25159</v>
      </c>
      <c r="G953">
        <v>6136.09</v>
      </c>
      <c r="H953" t="str">
        <f>TEXT(Orders[[#This Row],[Order_Date]],"mmmm")</f>
        <v>July</v>
      </c>
      <c r="I953">
        <f>YEAR(Orders[[#This Row],[Order_Date]])</f>
        <v>2024</v>
      </c>
      <c r="J953" t="str">
        <f>"Q"&amp;ROUNDUP(MONTH(Orders[[#This Row],[Order_Date]])/3,0)</f>
        <v>Q3</v>
      </c>
      <c r="K953" s="2">
        <f>(Orders[[#This Row],[Profit]]/Orders[[#This Row],[Sales]])*100</f>
        <v>24.389244405580509</v>
      </c>
    </row>
    <row r="954" spans="1:11" x14ac:dyDescent="0.3">
      <c r="A954" t="s">
        <v>1198</v>
      </c>
      <c r="B954" s="1">
        <v>45532</v>
      </c>
      <c r="C954" t="s">
        <v>142</v>
      </c>
      <c r="D954" t="s">
        <v>344</v>
      </c>
      <c r="E954">
        <v>3</v>
      </c>
      <c r="F954">
        <v>27303</v>
      </c>
      <c r="G954">
        <v>5405.73</v>
      </c>
      <c r="H954" t="str">
        <f>TEXT(Orders[[#This Row],[Order_Date]],"mmmm")</f>
        <v>August</v>
      </c>
      <c r="I954">
        <f>YEAR(Orders[[#This Row],[Order_Date]])</f>
        <v>2024</v>
      </c>
      <c r="J954" t="str">
        <f>"Q"&amp;ROUNDUP(MONTH(Orders[[#This Row],[Order_Date]])/3,0)</f>
        <v>Q3</v>
      </c>
      <c r="K954" s="2">
        <f>(Orders[[#This Row],[Profit]]/Orders[[#This Row],[Sales]])*100</f>
        <v>19.799033073288648</v>
      </c>
    </row>
    <row r="955" spans="1:11" x14ac:dyDescent="0.3">
      <c r="A955" t="s">
        <v>1199</v>
      </c>
      <c r="B955" s="1">
        <v>45572</v>
      </c>
      <c r="C955" t="s">
        <v>114</v>
      </c>
      <c r="D955" t="s">
        <v>257</v>
      </c>
      <c r="E955">
        <v>2</v>
      </c>
      <c r="F955">
        <v>13494</v>
      </c>
      <c r="G955">
        <v>2174.2800000000002</v>
      </c>
      <c r="H955" t="str">
        <f>TEXT(Orders[[#This Row],[Order_Date]],"mmmm")</f>
        <v>October</v>
      </c>
      <c r="I955">
        <f>YEAR(Orders[[#This Row],[Order_Date]])</f>
        <v>2024</v>
      </c>
      <c r="J955" t="str">
        <f>"Q"&amp;ROUNDUP(MONTH(Orders[[#This Row],[Order_Date]])/3,0)</f>
        <v>Q4</v>
      </c>
      <c r="K955" s="2">
        <f>(Orders[[#This Row],[Profit]]/Orders[[#This Row],[Sales]])*100</f>
        <v>16.11293908403735</v>
      </c>
    </row>
    <row r="956" spans="1:11" x14ac:dyDescent="0.3">
      <c r="A956" t="s">
        <v>1200</v>
      </c>
      <c r="B956" s="1">
        <v>45362</v>
      </c>
      <c r="C956" t="s">
        <v>70</v>
      </c>
      <c r="D956" t="s">
        <v>255</v>
      </c>
      <c r="E956">
        <v>5</v>
      </c>
      <c r="F956">
        <v>128040</v>
      </c>
      <c r="G956">
        <v>24214</v>
      </c>
      <c r="H956" t="str">
        <f>TEXT(Orders[[#This Row],[Order_Date]],"mmmm")</f>
        <v>March</v>
      </c>
      <c r="I956">
        <f>YEAR(Orders[[#This Row],[Order_Date]])</f>
        <v>2024</v>
      </c>
      <c r="J956" t="str">
        <f>"Q"&amp;ROUNDUP(MONTH(Orders[[#This Row],[Order_Date]])/3,0)</f>
        <v>Q1</v>
      </c>
      <c r="K956" s="2">
        <f>(Orders[[#This Row],[Profit]]/Orders[[#This Row],[Sales]])*100</f>
        <v>18.911277725710715</v>
      </c>
    </row>
    <row r="957" spans="1:11" x14ac:dyDescent="0.3">
      <c r="A957" t="s">
        <v>1201</v>
      </c>
      <c r="B957" s="1">
        <v>45316</v>
      </c>
      <c r="C957" t="s">
        <v>130</v>
      </c>
      <c r="D957" t="s">
        <v>263</v>
      </c>
      <c r="E957">
        <v>3</v>
      </c>
      <c r="F957">
        <v>21465</v>
      </c>
      <c r="G957">
        <v>3510.11</v>
      </c>
      <c r="H957" t="str">
        <f>TEXT(Orders[[#This Row],[Order_Date]],"mmmm")</f>
        <v>January</v>
      </c>
      <c r="I957">
        <f>YEAR(Orders[[#This Row],[Order_Date]])</f>
        <v>2024</v>
      </c>
      <c r="J957" t="str">
        <f>"Q"&amp;ROUNDUP(MONTH(Orders[[#This Row],[Order_Date]])/3,0)</f>
        <v>Q1</v>
      </c>
      <c r="K957" s="2">
        <f>(Orders[[#This Row],[Profit]]/Orders[[#This Row],[Sales]])*100</f>
        <v>16.352713720009319</v>
      </c>
    </row>
    <row r="958" spans="1:11" x14ac:dyDescent="0.3">
      <c r="A958" t="s">
        <v>1202</v>
      </c>
      <c r="B958" s="1">
        <v>45313</v>
      </c>
      <c r="C958" t="s">
        <v>82</v>
      </c>
      <c r="D958" t="s">
        <v>239</v>
      </c>
      <c r="E958">
        <v>3</v>
      </c>
      <c r="F958">
        <v>75477</v>
      </c>
      <c r="G958">
        <v>6894.4</v>
      </c>
      <c r="H958" t="str">
        <f>TEXT(Orders[[#This Row],[Order_Date]],"mmmm")</f>
        <v>January</v>
      </c>
      <c r="I958">
        <f>YEAR(Orders[[#This Row],[Order_Date]])</f>
        <v>2024</v>
      </c>
      <c r="J958" t="str">
        <f>"Q"&amp;ROUNDUP(MONTH(Orders[[#This Row],[Order_Date]])/3,0)</f>
        <v>Q1</v>
      </c>
      <c r="K958" s="2">
        <f>(Orders[[#This Row],[Profit]]/Orders[[#This Row],[Sales]])*100</f>
        <v>9.1344383057090237</v>
      </c>
    </row>
    <row r="959" spans="1:11" x14ac:dyDescent="0.3">
      <c r="A959" t="s">
        <v>1203</v>
      </c>
      <c r="B959" s="1">
        <v>45522</v>
      </c>
      <c r="C959" t="s">
        <v>74</v>
      </c>
      <c r="D959" t="s">
        <v>283</v>
      </c>
      <c r="E959">
        <v>3</v>
      </c>
      <c r="F959">
        <v>162561</v>
      </c>
      <c r="G959">
        <v>33371.15</v>
      </c>
      <c r="H959" t="str">
        <f>TEXT(Orders[[#This Row],[Order_Date]],"mmmm")</f>
        <v>August</v>
      </c>
      <c r="I959">
        <f>YEAR(Orders[[#This Row],[Order_Date]])</f>
        <v>2024</v>
      </c>
      <c r="J959" t="str">
        <f>"Q"&amp;ROUNDUP(MONTH(Orders[[#This Row],[Order_Date]])/3,0)</f>
        <v>Q3</v>
      </c>
      <c r="K959" s="2">
        <f>(Orders[[#This Row],[Profit]]/Orders[[#This Row],[Sales]])*100</f>
        <v>20.528386267308889</v>
      </c>
    </row>
    <row r="960" spans="1:11" x14ac:dyDescent="0.3">
      <c r="A960" t="s">
        <v>1204</v>
      </c>
      <c r="B960" s="1">
        <v>45626</v>
      </c>
      <c r="C960" t="s">
        <v>132</v>
      </c>
      <c r="D960" t="s">
        <v>266</v>
      </c>
      <c r="E960">
        <v>5</v>
      </c>
      <c r="F960">
        <v>56175</v>
      </c>
      <c r="G960">
        <v>11617.82</v>
      </c>
      <c r="H960" t="str">
        <f>TEXT(Orders[[#This Row],[Order_Date]],"mmmm")</f>
        <v>November</v>
      </c>
      <c r="I960">
        <f>YEAR(Orders[[#This Row],[Order_Date]])</f>
        <v>2024</v>
      </c>
      <c r="J960" t="str">
        <f>"Q"&amp;ROUNDUP(MONTH(Orders[[#This Row],[Order_Date]])/3,0)</f>
        <v>Q4</v>
      </c>
      <c r="K960" s="2">
        <f>(Orders[[#This Row],[Profit]]/Orders[[#This Row],[Sales]])*100</f>
        <v>20.681477525589674</v>
      </c>
    </row>
    <row r="961" spans="1:11" x14ac:dyDescent="0.3">
      <c r="A961" t="s">
        <v>1205</v>
      </c>
      <c r="B961" s="1">
        <v>45640</v>
      </c>
      <c r="C961" t="s">
        <v>184</v>
      </c>
      <c r="D961" t="s">
        <v>266</v>
      </c>
      <c r="E961">
        <v>3</v>
      </c>
      <c r="F961">
        <v>33705</v>
      </c>
      <c r="G961">
        <v>2921.14</v>
      </c>
      <c r="H961" t="str">
        <f>TEXT(Orders[[#This Row],[Order_Date]],"mmmm")</f>
        <v>December</v>
      </c>
      <c r="I961">
        <f>YEAR(Orders[[#This Row],[Order_Date]])</f>
        <v>2024</v>
      </c>
      <c r="J961" t="str">
        <f>"Q"&amp;ROUNDUP(MONTH(Orders[[#This Row],[Order_Date]])/3,0)</f>
        <v>Q4</v>
      </c>
      <c r="K961" s="2">
        <f>(Orders[[#This Row],[Profit]]/Orders[[#This Row],[Sales]])*100</f>
        <v>8.666785343420857</v>
      </c>
    </row>
    <row r="962" spans="1:11" x14ac:dyDescent="0.3">
      <c r="A962" t="s">
        <v>1206</v>
      </c>
      <c r="B962" s="1">
        <v>45347</v>
      </c>
      <c r="C962" t="s">
        <v>86</v>
      </c>
      <c r="D962" t="s">
        <v>260</v>
      </c>
      <c r="E962">
        <v>5</v>
      </c>
      <c r="F962">
        <v>279750</v>
      </c>
      <c r="G962">
        <v>58432.36</v>
      </c>
      <c r="H962" t="str">
        <f>TEXT(Orders[[#This Row],[Order_Date]],"mmmm")</f>
        <v>February</v>
      </c>
      <c r="I962">
        <f>YEAR(Orders[[#This Row],[Order_Date]])</f>
        <v>2024</v>
      </c>
      <c r="J962" t="str">
        <f>"Q"&amp;ROUNDUP(MONTH(Orders[[#This Row],[Order_Date]])/3,0)</f>
        <v>Q1</v>
      </c>
      <c r="K962" s="2">
        <f>(Orders[[#This Row],[Profit]]/Orders[[#This Row],[Sales]])*100</f>
        <v>20.887349419124217</v>
      </c>
    </row>
    <row r="963" spans="1:11" x14ac:dyDescent="0.3">
      <c r="A963" t="s">
        <v>1207</v>
      </c>
      <c r="B963" s="1">
        <v>45294</v>
      </c>
      <c r="C963" t="s">
        <v>214</v>
      </c>
      <c r="D963" t="s">
        <v>283</v>
      </c>
      <c r="E963">
        <v>2</v>
      </c>
      <c r="F963">
        <v>108374</v>
      </c>
      <c r="G963">
        <v>14705.47</v>
      </c>
      <c r="H963" t="str">
        <f>TEXT(Orders[[#This Row],[Order_Date]],"mmmm")</f>
        <v>January</v>
      </c>
      <c r="I963">
        <f>YEAR(Orders[[#This Row],[Order_Date]])</f>
        <v>2024</v>
      </c>
      <c r="J963" t="str">
        <f>"Q"&amp;ROUNDUP(MONTH(Orders[[#This Row],[Order_Date]])/3,0)</f>
        <v>Q1</v>
      </c>
      <c r="K963" s="2">
        <f>(Orders[[#This Row],[Profit]]/Orders[[#This Row],[Sales]])*100</f>
        <v>13.569186336206101</v>
      </c>
    </row>
    <row r="964" spans="1:11" x14ac:dyDescent="0.3">
      <c r="A964" t="s">
        <v>1208</v>
      </c>
      <c r="B964" s="1">
        <v>45488</v>
      </c>
      <c r="C964" t="s">
        <v>208</v>
      </c>
      <c r="D964" t="s">
        <v>227</v>
      </c>
      <c r="E964">
        <v>2</v>
      </c>
      <c r="F964">
        <v>18788</v>
      </c>
      <c r="G964">
        <v>4508.54</v>
      </c>
      <c r="H964" t="str">
        <f>TEXT(Orders[[#This Row],[Order_Date]],"mmmm")</f>
        <v>July</v>
      </c>
      <c r="I964">
        <f>YEAR(Orders[[#This Row],[Order_Date]])</f>
        <v>2024</v>
      </c>
      <c r="J964" t="str">
        <f>"Q"&amp;ROUNDUP(MONTH(Orders[[#This Row],[Order_Date]])/3,0)</f>
        <v>Q3</v>
      </c>
      <c r="K964" s="2">
        <f>(Orders[[#This Row],[Profit]]/Orders[[#This Row],[Sales]])*100</f>
        <v>23.996912923142428</v>
      </c>
    </row>
    <row r="965" spans="1:11" x14ac:dyDescent="0.3">
      <c r="A965" t="s">
        <v>1209</v>
      </c>
      <c r="B965" s="1">
        <v>45483</v>
      </c>
      <c r="C965" t="s">
        <v>68</v>
      </c>
      <c r="D965" t="s">
        <v>279</v>
      </c>
      <c r="E965">
        <v>3</v>
      </c>
      <c r="F965">
        <v>18660</v>
      </c>
      <c r="G965">
        <v>3585.34</v>
      </c>
      <c r="H965" t="str">
        <f>TEXT(Orders[[#This Row],[Order_Date]],"mmmm")</f>
        <v>July</v>
      </c>
      <c r="I965">
        <f>YEAR(Orders[[#This Row],[Order_Date]])</f>
        <v>2024</v>
      </c>
      <c r="J965" t="str">
        <f>"Q"&amp;ROUNDUP(MONTH(Orders[[#This Row],[Order_Date]])/3,0)</f>
        <v>Q3</v>
      </c>
      <c r="K965" s="2">
        <f>(Orders[[#This Row],[Profit]]/Orders[[#This Row],[Sales]])*100</f>
        <v>19.214040728831726</v>
      </c>
    </row>
    <row r="966" spans="1:11" x14ac:dyDescent="0.3">
      <c r="A966" t="s">
        <v>1210</v>
      </c>
      <c r="B966" s="1">
        <v>45448</v>
      </c>
      <c r="C966" t="s">
        <v>78</v>
      </c>
      <c r="D966" t="s">
        <v>344</v>
      </c>
      <c r="E966">
        <v>2</v>
      </c>
      <c r="F966">
        <v>18202</v>
      </c>
      <c r="G966">
        <v>3302.28</v>
      </c>
      <c r="H966" t="str">
        <f>TEXT(Orders[[#This Row],[Order_Date]],"mmmm")</f>
        <v>June</v>
      </c>
      <c r="I966">
        <f>YEAR(Orders[[#This Row],[Order_Date]])</f>
        <v>2024</v>
      </c>
      <c r="J966" t="str">
        <f>"Q"&amp;ROUNDUP(MONTH(Orders[[#This Row],[Order_Date]])/3,0)</f>
        <v>Q2</v>
      </c>
      <c r="K966" s="2">
        <f>(Orders[[#This Row],[Profit]]/Orders[[#This Row],[Sales]])*100</f>
        <v>18.142401933853424</v>
      </c>
    </row>
    <row r="967" spans="1:11" x14ac:dyDescent="0.3">
      <c r="A967" t="s">
        <v>1211</v>
      </c>
      <c r="B967" s="1">
        <v>45371</v>
      </c>
      <c r="C967" t="s">
        <v>66</v>
      </c>
      <c r="D967" t="s">
        <v>239</v>
      </c>
      <c r="E967">
        <v>1</v>
      </c>
      <c r="F967">
        <v>25159</v>
      </c>
      <c r="G967">
        <v>3500.83</v>
      </c>
      <c r="H967" t="str">
        <f>TEXT(Orders[[#This Row],[Order_Date]],"mmmm")</f>
        <v>March</v>
      </c>
      <c r="I967">
        <f>YEAR(Orders[[#This Row],[Order_Date]])</f>
        <v>2024</v>
      </c>
      <c r="J967" t="str">
        <f>"Q"&amp;ROUNDUP(MONTH(Orders[[#This Row],[Order_Date]])/3,0)</f>
        <v>Q1</v>
      </c>
      <c r="K967" s="2">
        <f>(Orders[[#This Row],[Profit]]/Orders[[#This Row],[Sales]])*100</f>
        <v>13.914821733773202</v>
      </c>
    </row>
    <row r="968" spans="1:11" x14ac:dyDescent="0.3">
      <c r="A968" t="s">
        <v>1212</v>
      </c>
      <c r="B968" s="1">
        <v>45525</v>
      </c>
      <c r="C968" t="s">
        <v>196</v>
      </c>
      <c r="D968" t="s">
        <v>245</v>
      </c>
      <c r="E968">
        <v>4</v>
      </c>
      <c r="F968">
        <v>96944</v>
      </c>
      <c r="G968">
        <v>21640.06</v>
      </c>
      <c r="H968" t="str">
        <f>TEXT(Orders[[#This Row],[Order_Date]],"mmmm")</f>
        <v>August</v>
      </c>
      <c r="I968">
        <f>YEAR(Orders[[#This Row],[Order_Date]])</f>
        <v>2024</v>
      </c>
      <c r="J968" t="str">
        <f>"Q"&amp;ROUNDUP(MONTH(Orders[[#This Row],[Order_Date]])/3,0)</f>
        <v>Q3</v>
      </c>
      <c r="K968" s="2">
        <f>(Orders[[#This Row],[Profit]]/Orders[[#This Row],[Sales]])*100</f>
        <v>22.322227265225287</v>
      </c>
    </row>
    <row r="969" spans="1:11" x14ac:dyDescent="0.3">
      <c r="A969" t="s">
        <v>1213</v>
      </c>
      <c r="B969" s="1">
        <v>45323</v>
      </c>
      <c r="C969" t="s">
        <v>218</v>
      </c>
      <c r="D969" t="s">
        <v>239</v>
      </c>
      <c r="E969">
        <v>2</v>
      </c>
      <c r="F969">
        <v>50318</v>
      </c>
      <c r="G969">
        <v>9152.7900000000009</v>
      </c>
      <c r="H969" t="str">
        <f>TEXT(Orders[[#This Row],[Order_Date]],"mmmm")</f>
        <v>February</v>
      </c>
      <c r="I969">
        <f>YEAR(Orders[[#This Row],[Order_Date]])</f>
        <v>2024</v>
      </c>
      <c r="J969" t="str">
        <f>"Q"&amp;ROUNDUP(MONTH(Orders[[#This Row],[Order_Date]])/3,0)</f>
        <v>Q1</v>
      </c>
      <c r="K969" s="2">
        <f>(Orders[[#This Row],[Profit]]/Orders[[#This Row],[Sales]])*100</f>
        <v>18.189892285066975</v>
      </c>
    </row>
    <row r="970" spans="1:11" x14ac:dyDescent="0.3">
      <c r="A970" t="s">
        <v>1214</v>
      </c>
      <c r="B970" s="1">
        <v>45363</v>
      </c>
      <c r="C970" t="s">
        <v>39</v>
      </c>
      <c r="D970" t="s">
        <v>227</v>
      </c>
      <c r="E970">
        <v>2</v>
      </c>
      <c r="F970">
        <v>18788</v>
      </c>
      <c r="G970">
        <v>2133.13</v>
      </c>
      <c r="H970" t="str">
        <f>TEXT(Orders[[#This Row],[Order_Date]],"mmmm")</f>
        <v>March</v>
      </c>
      <c r="I970">
        <f>YEAR(Orders[[#This Row],[Order_Date]])</f>
        <v>2024</v>
      </c>
      <c r="J970" t="str">
        <f>"Q"&amp;ROUNDUP(MONTH(Orders[[#This Row],[Order_Date]])/3,0)</f>
        <v>Q1</v>
      </c>
      <c r="K970" s="2">
        <f>(Orders[[#This Row],[Profit]]/Orders[[#This Row],[Sales]])*100</f>
        <v>11.353683202043859</v>
      </c>
    </row>
    <row r="971" spans="1:11" x14ac:dyDescent="0.3">
      <c r="A971" t="s">
        <v>1215</v>
      </c>
      <c r="B971" s="1">
        <v>45334</v>
      </c>
      <c r="C971" t="s">
        <v>210</v>
      </c>
      <c r="D971" t="s">
        <v>229</v>
      </c>
      <c r="E971">
        <v>4</v>
      </c>
      <c r="F971">
        <v>35492</v>
      </c>
      <c r="G971">
        <v>6385.09</v>
      </c>
      <c r="H971" t="str">
        <f>TEXT(Orders[[#This Row],[Order_Date]],"mmmm")</f>
        <v>February</v>
      </c>
      <c r="I971">
        <f>YEAR(Orders[[#This Row],[Order_Date]])</f>
        <v>2024</v>
      </c>
      <c r="J971" t="str">
        <f>"Q"&amp;ROUNDUP(MONTH(Orders[[#This Row],[Order_Date]])/3,0)</f>
        <v>Q1</v>
      </c>
      <c r="K971" s="2">
        <f>(Orders[[#This Row],[Profit]]/Orders[[#This Row],[Sales]])*100</f>
        <v>17.99022314887862</v>
      </c>
    </row>
    <row r="972" spans="1:11" x14ac:dyDescent="0.3">
      <c r="A972" t="s">
        <v>1216</v>
      </c>
      <c r="B972" s="1">
        <v>45585</v>
      </c>
      <c r="C972" t="s">
        <v>24</v>
      </c>
      <c r="D972" t="s">
        <v>241</v>
      </c>
      <c r="E972">
        <v>4</v>
      </c>
      <c r="F972">
        <v>33448</v>
      </c>
      <c r="G972">
        <v>7230.69</v>
      </c>
      <c r="H972" t="str">
        <f>TEXT(Orders[[#This Row],[Order_Date]],"mmmm")</f>
        <v>October</v>
      </c>
      <c r="I972">
        <f>YEAR(Orders[[#This Row],[Order_Date]])</f>
        <v>2024</v>
      </c>
      <c r="J972" t="str">
        <f>"Q"&amp;ROUNDUP(MONTH(Orders[[#This Row],[Order_Date]])/3,0)</f>
        <v>Q4</v>
      </c>
      <c r="K972" s="2">
        <f>(Orders[[#This Row],[Profit]]/Orders[[#This Row],[Sales]])*100</f>
        <v>21.617705094475003</v>
      </c>
    </row>
    <row r="973" spans="1:11" x14ac:dyDescent="0.3">
      <c r="A973" t="s">
        <v>1217</v>
      </c>
      <c r="B973" s="1">
        <v>45460</v>
      </c>
      <c r="C973" t="s">
        <v>110</v>
      </c>
      <c r="D973" t="s">
        <v>279</v>
      </c>
      <c r="E973">
        <v>3</v>
      </c>
      <c r="F973">
        <v>18660</v>
      </c>
      <c r="G973">
        <v>3852.83</v>
      </c>
      <c r="H973" t="str">
        <f>TEXT(Orders[[#This Row],[Order_Date]],"mmmm")</f>
        <v>June</v>
      </c>
      <c r="I973">
        <f>YEAR(Orders[[#This Row],[Order_Date]])</f>
        <v>2024</v>
      </c>
      <c r="J973" t="str">
        <f>"Q"&amp;ROUNDUP(MONTH(Orders[[#This Row],[Order_Date]])/3,0)</f>
        <v>Q2</v>
      </c>
      <c r="K973" s="2">
        <f>(Orders[[#This Row],[Profit]]/Orders[[#This Row],[Sales]])*100</f>
        <v>20.647534833869237</v>
      </c>
    </row>
    <row r="974" spans="1:11" x14ac:dyDescent="0.3">
      <c r="A974" t="s">
        <v>1218</v>
      </c>
      <c r="B974" s="1">
        <v>45431</v>
      </c>
      <c r="C974" t="s">
        <v>114</v>
      </c>
      <c r="D974" t="s">
        <v>344</v>
      </c>
      <c r="E974">
        <v>1</v>
      </c>
      <c r="F974">
        <v>9101</v>
      </c>
      <c r="G974">
        <v>1326.6</v>
      </c>
      <c r="H974" t="str">
        <f>TEXT(Orders[[#This Row],[Order_Date]],"mmmm")</f>
        <v>May</v>
      </c>
      <c r="I974">
        <f>YEAR(Orders[[#This Row],[Order_Date]])</f>
        <v>2024</v>
      </c>
      <c r="J974" t="str">
        <f>"Q"&amp;ROUNDUP(MONTH(Orders[[#This Row],[Order_Date]])/3,0)</f>
        <v>Q2</v>
      </c>
      <c r="K974" s="2">
        <f>(Orders[[#This Row],[Profit]]/Orders[[#This Row],[Sales]])*100</f>
        <v>14.576420173607296</v>
      </c>
    </row>
    <row r="975" spans="1:11" x14ac:dyDescent="0.3">
      <c r="A975" t="s">
        <v>1219</v>
      </c>
      <c r="B975" s="1">
        <v>45543</v>
      </c>
      <c r="C975" t="s">
        <v>31</v>
      </c>
      <c r="D975" t="s">
        <v>255</v>
      </c>
      <c r="E975">
        <v>4</v>
      </c>
      <c r="F975">
        <v>102432</v>
      </c>
      <c r="G975">
        <v>13008.63</v>
      </c>
      <c r="H975" t="str">
        <f>TEXT(Orders[[#This Row],[Order_Date]],"mmmm")</f>
        <v>September</v>
      </c>
      <c r="I975">
        <f>YEAR(Orders[[#This Row],[Order_Date]])</f>
        <v>2024</v>
      </c>
      <c r="J975" t="str">
        <f>"Q"&amp;ROUNDUP(MONTH(Orders[[#This Row],[Order_Date]])/3,0)</f>
        <v>Q3</v>
      </c>
      <c r="K975" s="2">
        <f>(Orders[[#This Row],[Profit]]/Orders[[#This Row],[Sales]])*100</f>
        <v>12.699771555763823</v>
      </c>
    </row>
    <row r="976" spans="1:11" x14ac:dyDescent="0.3">
      <c r="A976" t="s">
        <v>1220</v>
      </c>
      <c r="B976" s="1">
        <v>45579</v>
      </c>
      <c r="C976" t="s">
        <v>100</v>
      </c>
      <c r="D976" t="s">
        <v>283</v>
      </c>
      <c r="E976">
        <v>4</v>
      </c>
      <c r="F976">
        <v>216748</v>
      </c>
      <c r="G976">
        <v>38778.36</v>
      </c>
      <c r="H976" t="str">
        <f>TEXT(Orders[[#This Row],[Order_Date]],"mmmm")</f>
        <v>October</v>
      </c>
      <c r="I976">
        <f>YEAR(Orders[[#This Row],[Order_Date]])</f>
        <v>2024</v>
      </c>
      <c r="J976" t="str">
        <f>"Q"&amp;ROUNDUP(MONTH(Orders[[#This Row],[Order_Date]])/3,0)</f>
        <v>Q4</v>
      </c>
      <c r="K976" s="2">
        <f>(Orders[[#This Row],[Profit]]/Orders[[#This Row],[Sales]])*100</f>
        <v>17.890988613505083</v>
      </c>
    </row>
    <row r="977" spans="1:11" x14ac:dyDescent="0.3">
      <c r="A977" t="s">
        <v>1221</v>
      </c>
      <c r="B977" s="1">
        <v>45497</v>
      </c>
      <c r="C977" t="s">
        <v>150</v>
      </c>
      <c r="D977" t="s">
        <v>227</v>
      </c>
      <c r="E977">
        <v>2</v>
      </c>
      <c r="F977">
        <v>18788</v>
      </c>
      <c r="G977">
        <v>3136.74</v>
      </c>
      <c r="H977" t="str">
        <f>TEXT(Orders[[#This Row],[Order_Date]],"mmmm")</f>
        <v>July</v>
      </c>
      <c r="I977">
        <f>YEAR(Orders[[#This Row],[Order_Date]])</f>
        <v>2024</v>
      </c>
      <c r="J977" t="str">
        <f>"Q"&amp;ROUNDUP(MONTH(Orders[[#This Row],[Order_Date]])/3,0)</f>
        <v>Q3</v>
      </c>
      <c r="K977" s="2">
        <f>(Orders[[#This Row],[Profit]]/Orders[[#This Row],[Sales]])*100</f>
        <v>16.69544390036193</v>
      </c>
    </row>
    <row r="978" spans="1:11" x14ac:dyDescent="0.3">
      <c r="A978" t="s">
        <v>1222</v>
      </c>
      <c r="B978" s="1">
        <v>45349</v>
      </c>
      <c r="C978" t="s">
        <v>84</v>
      </c>
      <c r="D978" t="s">
        <v>263</v>
      </c>
      <c r="E978">
        <v>3</v>
      </c>
      <c r="F978">
        <v>21465</v>
      </c>
      <c r="G978">
        <v>2452.15</v>
      </c>
      <c r="H978" t="str">
        <f>TEXT(Orders[[#This Row],[Order_Date]],"mmmm")</f>
        <v>February</v>
      </c>
      <c r="I978">
        <f>YEAR(Orders[[#This Row],[Order_Date]])</f>
        <v>2024</v>
      </c>
      <c r="J978" t="str">
        <f>"Q"&amp;ROUNDUP(MONTH(Orders[[#This Row],[Order_Date]])/3,0)</f>
        <v>Q1</v>
      </c>
      <c r="K978" s="2">
        <f>(Orders[[#This Row],[Profit]]/Orders[[#This Row],[Sales]])*100</f>
        <v>11.423945958537155</v>
      </c>
    </row>
    <row r="979" spans="1:11" x14ac:dyDescent="0.3">
      <c r="A979" t="s">
        <v>1223</v>
      </c>
      <c r="B979" s="1">
        <v>45421</v>
      </c>
      <c r="C979" t="s">
        <v>176</v>
      </c>
      <c r="D979" t="s">
        <v>257</v>
      </c>
      <c r="E979">
        <v>4</v>
      </c>
      <c r="F979">
        <v>26988</v>
      </c>
      <c r="G979">
        <v>4093.65</v>
      </c>
      <c r="H979" t="str">
        <f>TEXT(Orders[[#This Row],[Order_Date]],"mmmm")</f>
        <v>May</v>
      </c>
      <c r="I979">
        <f>YEAR(Orders[[#This Row],[Order_Date]])</f>
        <v>2024</v>
      </c>
      <c r="J979" t="str">
        <f>"Q"&amp;ROUNDUP(MONTH(Orders[[#This Row],[Order_Date]])/3,0)</f>
        <v>Q2</v>
      </c>
      <c r="K979" s="2">
        <f>(Orders[[#This Row],[Profit]]/Orders[[#This Row],[Sales]])*100</f>
        <v>15.168408181413962</v>
      </c>
    </row>
    <row r="980" spans="1:11" x14ac:dyDescent="0.3">
      <c r="A980" t="s">
        <v>1224</v>
      </c>
      <c r="B980" s="1">
        <v>45651</v>
      </c>
      <c r="C980" t="s">
        <v>174</v>
      </c>
      <c r="D980" t="s">
        <v>260</v>
      </c>
      <c r="E980">
        <v>1</v>
      </c>
      <c r="F980">
        <v>55950</v>
      </c>
      <c r="G980">
        <v>6929.97</v>
      </c>
      <c r="H980" t="str">
        <f>TEXT(Orders[[#This Row],[Order_Date]],"mmmm")</f>
        <v>December</v>
      </c>
      <c r="I980">
        <f>YEAR(Orders[[#This Row],[Order_Date]])</f>
        <v>2024</v>
      </c>
      <c r="J980" t="str">
        <f>"Q"&amp;ROUNDUP(MONTH(Orders[[#This Row],[Order_Date]])/3,0)</f>
        <v>Q4</v>
      </c>
      <c r="K980" s="2">
        <f>(Orders[[#This Row],[Profit]]/Orders[[#This Row],[Sales]])*100</f>
        <v>12.386005361930295</v>
      </c>
    </row>
    <row r="981" spans="1:11" x14ac:dyDescent="0.3">
      <c r="A981" t="s">
        <v>1225</v>
      </c>
      <c r="B981" s="1">
        <v>45509</v>
      </c>
      <c r="C981" t="s">
        <v>90</v>
      </c>
      <c r="D981" t="s">
        <v>245</v>
      </c>
      <c r="E981">
        <v>2</v>
      </c>
      <c r="F981">
        <v>48472</v>
      </c>
      <c r="G981">
        <v>7612.02</v>
      </c>
      <c r="H981" t="str">
        <f>TEXT(Orders[[#This Row],[Order_Date]],"mmmm")</f>
        <v>August</v>
      </c>
      <c r="I981">
        <f>YEAR(Orders[[#This Row],[Order_Date]])</f>
        <v>2024</v>
      </c>
      <c r="J981" t="str">
        <f>"Q"&amp;ROUNDUP(MONTH(Orders[[#This Row],[Order_Date]])/3,0)</f>
        <v>Q3</v>
      </c>
      <c r="K981" s="2">
        <f>(Orders[[#This Row],[Profit]]/Orders[[#This Row],[Sales]])*100</f>
        <v>15.703952797491336</v>
      </c>
    </row>
    <row r="982" spans="1:11" x14ac:dyDescent="0.3">
      <c r="A982" t="s">
        <v>1226</v>
      </c>
      <c r="B982" s="1">
        <v>45364</v>
      </c>
      <c r="C982" t="s">
        <v>17</v>
      </c>
      <c r="D982" t="s">
        <v>260</v>
      </c>
      <c r="E982">
        <v>3</v>
      </c>
      <c r="F982">
        <v>167850</v>
      </c>
      <c r="G982">
        <v>27987.9</v>
      </c>
      <c r="H982" t="str">
        <f>TEXT(Orders[[#This Row],[Order_Date]],"mmmm")</f>
        <v>March</v>
      </c>
      <c r="I982">
        <f>YEAR(Orders[[#This Row],[Order_Date]])</f>
        <v>2024</v>
      </c>
      <c r="J982" t="str">
        <f>"Q"&amp;ROUNDUP(MONTH(Orders[[#This Row],[Order_Date]])/3,0)</f>
        <v>Q1</v>
      </c>
      <c r="K982" s="2">
        <f>(Orders[[#This Row],[Profit]]/Orders[[#This Row],[Sales]])*100</f>
        <v>16.674352100089365</v>
      </c>
    </row>
    <row r="983" spans="1:11" x14ac:dyDescent="0.3">
      <c r="A983" t="s">
        <v>1227</v>
      </c>
      <c r="B983" s="1">
        <v>45545</v>
      </c>
      <c r="C983" t="s">
        <v>124</v>
      </c>
      <c r="D983" t="s">
        <v>247</v>
      </c>
      <c r="E983">
        <v>4</v>
      </c>
      <c r="F983">
        <v>44624</v>
      </c>
      <c r="G983">
        <v>7419.27</v>
      </c>
      <c r="H983" t="str">
        <f>TEXT(Orders[[#This Row],[Order_Date]],"mmmm")</f>
        <v>September</v>
      </c>
      <c r="I983">
        <f>YEAR(Orders[[#This Row],[Order_Date]])</f>
        <v>2024</v>
      </c>
      <c r="J983" t="str">
        <f>"Q"&amp;ROUNDUP(MONTH(Orders[[#This Row],[Order_Date]])/3,0)</f>
        <v>Q3</v>
      </c>
      <c r="K983" s="2">
        <f>(Orders[[#This Row],[Profit]]/Orders[[#This Row],[Sales]])*100</f>
        <v>16.626187701685193</v>
      </c>
    </row>
    <row r="984" spans="1:11" x14ac:dyDescent="0.3">
      <c r="A984" t="s">
        <v>1228</v>
      </c>
      <c r="B984" s="1">
        <v>45442</v>
      </c>
      <c r="C984" t="s">
        <v>152</v>
      </c>
      <c r="D984" t="s">
        <v>247</v>
      </c>
      <c r="E984">
        <v>4</v>
      </c>
      <c r="F984">
        <v>44624</v>
      </c>
      <c r="G984">
        <v>4374.08</v>
      </c>
      <c r="H984" t="str">
        <f>TEXT(Orders[[#This Row],[Order_Date]],"mmmm")</f>
        <v>May</v>
      </c>
      <c r="I984">
        <f>YEAR(Orders[[#This Row],[Order_Date]])</f>
        <v>2024</v>
      </c>
      <c r="J984" t="str">
        <f>"Q"&amp;ROUNDUP(MONTH(Orders[[#This Row],[Order_Date]])/3,0)</f>
        <v>Q2</v>
      </c>
      <c r="K984" s="2">
        <f>(Orders[[#This Row],[Profit]]/Orders[[#This Row],[Sales]])*100</f>
        <v>9.8020795984223739</v>
      </c>
    </row>
    <row r="985" spans="1:11" x14ac:dyDescent="0.3">
      <c r="A985" t="s">
        <v>1229</v>
      </c>
      <c r="B985" s="1">
        <v>45510</v>
      </c>
      <c r="C985" t="s">
        <v>124</v>
      </c>
      <c r="D985" t="s">
        <v>266</v>
      </c>
      <c r="E985">
        <v>1</v>
      </c>
      <c r="F985">
        <v>11235</v>
      </c>
      <c r="G985">
        <v>2149.44</v>
      </c>
      <c r="H985" t="str">
        <f>TEXT(Orders[[#This Row],[Order_Date]],"mmmm")</f>
        <v>August</v>
      </c>
      <c r="I985">
        <f>YEAR(Orders[[#This Row],[Order_Date]])</f>
        <v>2024</v>
      </c>
      <c r="J985" t="str">
        <f>"Q"&amp;ROUNDUP(MONTH(Orders[[#This Row],[Order_Date]])/3,0)</f>
        <v>Q3</v>
      </c>
      <c r="K985" s="2">
        <f>(Orders[[#This Row],[Profit]]/Orders[[#This Row],[Sales]])*100</f>
        <v>19.131642189586113</v>
      </c>
    </row>
    <row r="986" spans="1:11" x14ac:dyDescent="0.3">
      <c r="A986" t="s">
        <v>1230</v>
      </c>
      <c r="B986" s="1">
        <v>45441</v>
      </c>
      <c r="C986" t="s">
        <v>124</v>
      </c>
      <c r="D986" t="s">
        <v>344</v>
      </c>
      <c r="E986">
        <v>3</v>
      </c>
      <c r="F986">
        <v>27303</v>
      </c>
      <c r="G986">
        <v>4972.79</v>
      </c>
      <c r="H986" t="str">
        <f>TEXT(Orders[[#This Row],[Order_Date]],"mmmm")</f>
        <v>May</v>
      </c>
      <c r="I986">
        <f>YEAR(Orders[[#This Row],[Order_Date]])</f>
        <v>2024</v>
      </c>
      <c r="J986" t="str">
        <f>"Q"&amp;ROUNDUP(MONTH(Orders[[#This Row],[Order_Date]])/3,0)</f>
        <v>Q2</v>
      </c>
      <c r="K986" s="2">
        <f>(Orders[[#This Row],[Profit]]/Orders[[#This Row],[Sales]])*100</f>
        <v>18.21334651869758</v>
      </c>
    </row>
    <row r="987" spans="1:11" x14ac:dyDescent="0.3">
      <c r="A987" t="s">
        <v>1231</v>
      </c>
      <c r="B987" s="1">
        <v>45570</v>
      </c>
      <c r="C987" t="s">
        <v>86</v>
      </c>
      <c r="D987" t="s">
        <v>233</v>
      </c>
      <c r="E987">
        <v>5</v>
      </c>
      <c r="F987">
        <v>278475</v>
      </c>
      <c r="G987">
        <v>23636.58</v>
      </c>
      <c r="H987" t="str">
        <f>TEXT(Orders[[#This Row],[Order_Date]],"mmmm")</f>
        <v>October</v>
      </c>
      <c r="I987">
        <f>YEAR(Orders[[#This Row],[Order_Date]])</f>
        <v>2024</v>
      </c>
      <c r="J987" t="str">
        <f>"Q"&amp;ROUNDUP(MONTH(Orders[[#This Row],[Order_Date]])/3,0)</f>
        <v>Q4</v>
      </c>
      <c r="K987" s="2">
        <f>(Orders[[#This Row],[Profit]]/Orders[[#This Row],[Sales]])*100</f>
        <v>8.4878642607056296</v>
      </c>
    </row>
    <row r="988" spans="1:11" x14ac:dyDescent="0.3">
      <c r="A988" t="s">
        <v>1232</v>
      </c>
      <c r="B988" s="1">
        <v>45375</v>
      </c>
      <c r="C988" t="s">
        <v>31</v>
      </c>
      <c r="D988" t="s">
        <v>263</v>
      </c>
      <c r="E988">
        <v>3</v>
      </c>
      <c r="F988">
        <v>21465</v>
      </c>
      <c r="G988">
        <v>4422.05</v>
      </c>
      <c r="H988" t="str">
        <f>TEXT(Orders[[#This Row],[Order_Date]],"mmmm")</f>
        <v>March</v>
      </c>
      <c r="I988">
        <f>YEAR(Orders[[#This Row],[Order_Date]])</f>
        <v>2024</v>
      </c>
      <c r="J988" t="str">
        <f>"Q"&amp;ROUNDUP(MONTH(Orders[[#This Row],[Order_Date]])/3,0)</f>
        <v>Q1</v>
      </c>
      <c r="K988" s="2">
        <f>(Orders[[#This Row],[Profit]]/Orders[[#This Row],[Sales]])*100</f>
        <v>20.601211274167248</v>
      </c>
    </row>
    <row r="989" spans="1:11" x14ac:dyDescent="0.3">
      <c r="A989" t="s">
        <v>1233</v>
      </c>
      <c r="B989" s="1">
        <v>45365</v>
      </c>
      <c r="C989" t="s">
        <v>96</v>
      </c>
      <c r="D989" t="s">
        <v>283</v>
      </c>
      <c r="E989">
        <v>5</v>
      </c>
      <c r="F989">
        <v>270935</v>
      </c>
      <c r="G989">
        <v>57636.69</v>
      </c>
      <c r="H989" t="str">
        <f>TEXT(Orders[[#This Row],[Order_Date]],"mmmm")</f>
        <v>March</v>
      </c>
      <c r="I989">
        <f>YEAR(Orders[[#This Row],[Order_Date]])</f>
        <v>2024</v>
      </c>
      <c r="J989" t="str">
        <f>"Q"&amp;ROUNDUP(MONTH(Orders[[#This Row],[Order_Date]])/3,0)</f>
        <v>Q1</v>
      </c>
      <c r="K989" s="2">
        <f>(Orders[[#This Row],[Profit]]/Orders[[#This Row],[Sales]])*100</f>
        <v>21.273253732445053</v>
      </c>
    </row>
    <row r="990" spans="1:11" x14ac:dyDescent="0.3">
      <c r="A990" t="s">
        <v>1234</v>
      </c>
      <c r="B990" s="1">
        <v>45558</v>
      </c>
      <c r="C990" t="s">
        <v>39</v>
      </c>
      <c r="D990" t="s">
        <v>255</v>
      </c>
      <c r="E990">
        <v>4</v>
      </c>
      <c r="F990">
        <v>102432</v>
      </c>
      <c r="G990">
        <v>24047.33</v>
      </c>
      <c r="H990" t="str">
        <f>TEXT(Orders[[#This Row],[Order_Date]],"mmmm")</f>
        <v>September</v>
      </c>
      <c r="I990">
        <f>YEAR(Orders[[#This Row],[Order_Date]])</f>
        <v>2024</v>
      </c>
      <c r="J990" t="str">
        <f>"Q"&amp;ROUNDUP(MONTH(Orders[[#This Row],[Order_Date]])/3,0)</f>
        <v>Q3</v>
      </c>
      <c r="K990" s="2">
        <f>(Orders[[#This Row],[Profit]]/Orders[[#This Row],[Sales]])*100</f>
        <v>23.476384333020935</v>
      </c>
    </row>
    <row r="991" spans="1:11" x14ac:dyDescent="0.3">
      <c r="A991" t="s">
        <v>1235</v>
      </c>
      <c r="B991" s="1">
        <v>45368</v>
      </c>
      <c r="C991" t="s">
        <v>33</v>
      </c>
      <c r="D991" t="s">
        <v>283</v>
      </c>
      <c r="E991">
        <v>3</v>
      </c>
      <c r="F991">
        <v>162561</v>
      </c>
      <c r="G991">
        <v>38527.47</v>
      </c>
      <c r="H991" t="str">
        <f>TEXT(Orders[[#This Row],[Order_Date]],"mmmm")</f>
        <v>March</v>
      </c>
      <c r="I991">
        <f>YEAR(Orders[[#This Row],[Order_Date]])</f>
        <v>2024</v>
      </c>
      <c r="J991" t="str">
        <f>"Q"&amp;ROUNDUP(MONTH(Orders[[#This Row],[Order_Date]])/3,0)</f>
        <v>Q1</v>
      </c>
      <c r="K991" s="2">
        <f>(Orders[[#This Row],[Profit]]/Orders[[#This Row],[Sales]])*100</f>
        <v>23.700315573846126</v>
      </c>
    </row>
    <row r="992" spans="1:11" x14ac:dyDescent="0.3">
      <c r="A992" t="s">
        <v>1236</v>
      </c>
      <c r="B992" s="1">
        <v>45436</v>
      </c>
      <c r="C992" t="s">
        <v>136</v>
      </c>
      <c r="D992" t="s">
        <v>229</v>
      </c>
      <c r="E992">
        <v>5</v>
      </c>
      <c r="F992">
        <v>44365</v>
      </c>
      <c r="G992">
        <v>6020.96</v>
      </c>
      <c r="H992" t="str">
        <f>TEXT(Orders[[#This Row],[Order_Date]],"mmmm")</f>
        <v>May</v>
      </c>
      <c r="I992">
        <f>YEAR(Orders[[#This Row],[Order_Date]])</f>
        <v>2024</v>
      </c>
      <c r="J992" t="str">
        <f>"Q"&amp;ROUNDUP(MONTH(Orders[[#This Row],[Order_Date]])/3,0)</f>
        <v>Q2</v>
      </c>
      <c r="K992" s="2">
        <f>(Orders[[#This Row],[Profit]]/Orders[[#This Row],[Sales]])*100</f>
        <v>13.571418911303956</v>
      </c>
    </row>
    <row r="993" spans="1:11" x14ac:dyDescent="0.3">
      <c r="A993" t="s">
        <v>1237</v>
      </c>
      <c r="B993" s="1">
        <v>45301</v>
      </c>
      <c r="C993" t="s">
        <v>146</v>
      </c>
      <c r="D993" t="s">
        <v>241</v>
      </c>
      <c r="E993">
        <v>1</v>
      </c>
      <c r="F993">
        <v>8362</v>
      </c>
      <c r="G993">
        <v>1422.15</v>
      </c>
      <c r="H993" t="str">
        <f>TEXT(Orders[[#This Row],[Order_Date]],"mmmm")</f>
        <v>January</v>
      </c>
      <c r="I993">
        <f>YEAR(Orders[[#This Row],[Order_Date]])</f>
        <v>2024</v>
      </c>
      <c r="J993" t="str">
        <f>"Q"&amp;ROUNDUP(MONTH(Orders[[#This Row],[Order_Date]])/3,0)</f>
        <v>Q1</v>
      </c>
      <c r="K993" s="2">
        <f>(Orders[[#This Row],[Profit]]/Orders[[#This Row],[Sales]])*100</f>
        <v>17.007294905524994</v>
      </c>
    </row>
    <row r="994" spans="1:11" x14ac:dyDescent="0.3">
      <c r="A994" t="s">
        <v>1238</v>
      </c>
      <c r="B994" s="1">
        <v>45648</v>
      </c>
      <c r="C994" t="s">
        <v>180</v>
      </c>
      <c r="D994" t="s">
        <v>237</v>
      </c>
      <c r="E994">
        <v>2</v>
      </c>
      <c r="F994">
        <v>17252</v>
      </c>
      <c r="G994">
        <v>3165.76</v>
      </c>
      <c r="H994" t="str">
        <f>TEXT(Orders[[#This Row],[Order_Date]],"mmmm")</f>
        <v>December</v>
      </c>
      <c r="I994">
        <f>YEAR(Orders[[#This Row],[Order_Date]])</f>
        <v>2024</v>
      </c>
      <c r="J994" t="str">
        <f>"Q"&amp;ROUNDUP(MONTH(Orders[[#This Row],[Order_Date]])/3,0)</f>
        <v>Q4</v>
      </c>
      <c r="K994" s="2">
        <f>(Orders[[#This Row],[Profit]]/Orders[[#This Row],[Sales]])*100</f>
        <v>18.350104335729192</v>
      </c>
    </row>
    <row r="995" spans="1:11" x14ac:dyDescent="0.3">
      <c r="A995" t="s">
        <v>1239</v>
      </c>
      <c r="B995" s="1">
        <v>45381</v>
      </c>
      <c r="C995" t="s">
        <v>112</v>
      </c>
      <c r="D995" t="s">
        <v>316</v>
      </c>
      <c r="E995">
        <v>5</v>
      </c>
      <c r="F995">
        <v>271920</v>
      </c>
      <c r="G995">
        <v>28611.73</v>
      </c>
      <c r="H995" t="str">
        <f>TEXT(Orders[[#This Row],[Order_Date]],"mmmm")</f>
        <v>March</v>
      </c>
      <c r="I995">
        <f>YEAR(Orders[[#This Row],[Order_Date]])</f>
        <v>2024</v>
      </c>
      <c r="J995" t="str">
        <f>"Q"&amp;ROUNDUP(MONTH(Orders[[#This Row],[Order_Date]])/3,0)</f>
        <v>Q1</v>
      </c>
      <c r="K995" s="2">
        <f>(Orders[[#This Row],[Profit]]/Orders[[#This Row],[Sales]])*100</f>
        <v>10.522113121506326</v>
      </c>
    </row>
    <row r="996" spans="1:11" x14ac:dyDescent="0.3">
      <c r="A996" t="s">
        <v>1240</v>
      </c>
      <c r="B996" s="1">
        <v>45330</v>
      </c>
      <c r="C996" t="s">
        <v>198</v>
      </c>
      <c r="D996" t="s">
        <v>260</v>
      </c>
      <c r="E996">
        <v>4</v>
      </c>
      <c r="F996">
        <v>223800</v>
      </c>
      <c r="G996">
        <v>46809.18</v>
      </c>
      <c r="H996" t="str">
        <f>TEXT(Orders[[#This Row],[Order_Date]],"mmmm")</f>
        <v>February</v>
      </c>
      <c r="I996">
        <f>YEAR(Orders[[#This Row],[Order_Date]])</f>
        <v>2024</v>
      </c>
      <c r="J996" t="str">
        <f>"Q"&amp;ROUNDUP(MONTH(Orders[[#This Row],[Order_Date]])/3,0)</f>
        <v>Q1</v>
      </c>
      <c r="K996" s="2">
        <f>(Orders[[#This Row],[Profit]]/Orders[[#This Row],[Sales]])*100</f>
        <v>20.915630026809652</v>
      </c>
    </row>
    <row r="997" spans="1:11" x14ac:dyDescent="0.3">
      <c r="A997" t="s">
        <v>1241</v>
      </c>
      <c r="B997" s="1">
        <v>45481</v>
      </c>
      <c r="C997" t="s">
        <v>110</v>
      </c>
      <c r="D997" t="s">
        <v>279</v>
      </c>
      <c r="E997">
        <v>3</v>
      </c>
      <c r="F997">
        <v>18660</v>
      </c>
      <c r="G997">
        <v>3787.35</v>
      </c>
      <c r="H997" t="str">
        <f>TEXT(Orders[[#This Row],[Order_Date]],"mmmm")</f>
        <v>July</v>
      </c>
      <c r="I997">
        <f>YEAR(Orders[[#This Row],[Order_Date]])</f>
        <v>2024</v>
      </c>
      <c r="J997" t="str">
        <f>"Q"&amp;ROUNDUP(MONTH(Orders[[#This Row],[Order_Date]])/3,0)</f>
        <v>Q3</v>
      </c>
      <c r="K997" s="2">
        <f>(Orders[[#This Row],[Profit]]/Orders[[#This Row],[Sales]])*100</f>
        <v>20.296623794212216</v>
      </c>
    </row>
    <row r="998" spans="1:11" x14ac:dyDescent="0.3">
      <c r="A998" t="s">
        <v>1242</v>
      </c>
      <c r="B998" s="1">
        <v>45480</v>
      </c>
      <c r="C998" t="s">
        <v>98</v>
      </c>
      <c r="D998" t="s">
        <v>283</v>
      </c>
      <c r="E998">
        <v>4</v>
      </c>
      <c r="F998">
        <v>216748</v>
      </c>
      <c r="G998">
        <v>34875.480000000003</v>
      </c>
      <c r="H998" t="str">
        <f>TEXT(Orders[[#This Row],[Order_Date]],"mmmm")</f>
        <v>July</v>
      </c>
      <c r="I998">
        <f>YEAR(Orders[[#This Row],[Order_Date]])</f>
        <v>2024</v>
      </c>
      <c r="J998" t="str">
        <f>"Q"&amp;ROUNDUP(MONTH(Orders[[#This Row],[Order_Date]])/3,0)</f>
        <v>Q3</v>
      </c>
      <c r="K998" s="2">
        <f>(Orders[[#This Row],[Profit]]/Orders[[#This Row],[Sales]])*100</f>
        <v>16.090335320279774</v>
      </c>
    </row>
    <row r="999" spans="1:11" x14ac:dyDescent="0.3">
      <c r="A999" t="s">
        <v>1243</v>
      </c>
      <c r="B999" s="1">
        <v>45359</v>
      </c>
      <c r="C999" t="s">
        <v>102</v>
      </c>
      <c r="D999" t="s">
        <v>235</v>
      </c>
      <c r="E999">
        <v>4</v>
      </c>
      <c r="F999">
        <v>45368</v>
      </c>
      <c r="G999">
        <v>4797.97</v>
      </c>
      <c r="H999" t="str">
        <f>TEXT(Orders[[#This Row],[Order_Date]],"mmmm")</f>
        <v>March</v>
      </c>
      <c r="I999">
        <f>YEAR(Orders[[#This Row],[Order_Date]])</f>
        <v>2024</v>
      </c>
      <c r="J999" t="str">
        <f>"Q"&amp;ROUNDUP(MONTH(Orders[[#This Row],[Order_Date]])/3,0)</f>
        <v>Q1</v>
      </c>
      <c r="K999" s="2">
        <f>(Orders[[#This Row],[Profit]]/Orders[[#This Row],[Sales]])*100</f>
        <v>10.57567007582437</v>
      </c>
    </row>
    <row r="1000" spans="1:11" x14ac:dyDescent="0.3">
      <c r="A1000" t="s">
        <v>1244</v>
      </c>
      <c r="B1000" s="1">
        <v>45647</v>
      </c>
      <c r="C1000" t="s">
        <v>198</v>
      </c>
      <c r="D1000" t="s">
        <v>316</v>
      </c>
      <c r="E1000">
        <v>3</v>
      </c>
      <c r="F1000">
        <v>163152</v>
      </c>
      <c r="G1000">
        <v>30719.81</v>
      </c>
      <c r="H1000" t="str">
        <f>TEXT(Orders[[#This Row],[Order_Date]],"mmmm")</f>
        <v>December</v>
      </c>
      <c r="I1000">
        <f>YEAR(Orders[[#This Row],[Order_Date]])</f>
        <v>2024</v>
      </c>
      <c r="J1000" t="str">
        <f>"Q"&amp;ROUNDUP(MONTH(Orders[[#This Row],[Order_Date]])/3,0)</f>
        <v>Q4</v>
      </c>
      <c r="K1000" s="2">
        <f>(Orders[[#This Row],[Profit]]/Orders[[#This Row],[Sales]])*100</f>
        <v>18.828950916936353</v>
      </c>
    </row>
    <row r="1001" spans="1:11" x14ac:dyDescent="0.3">
      <c r="A1001" t="s">
        <v>1245</v>
      </c>
      <c r="B1001" s="1">
        <v>45316</v>
      </c>
      <c r="C1001" t="s">
        <v>84</v>
      </c>
      <c r="D1001" t="s">
        <v>283</v>
      </c>
      <c r="E1001">
        <v>5</v>
      </c>
      <c r="F1001">
        <v>270935</v>
      </c>
      <c r="G1001">
        <v>43393.36</v>
      </c>
      <c r="H1001" t="str">
        <f>TEXT(Orders[[#This Row],[Order_Date]],"mmmm")</f>
        <v>January</v>
      </c>
      <c r="I1001">
        <f>YEAR(Orders[[#This Row],[Order_Date]])</f>
        <v>2024</v>
      </c>
      <c r="J1001" t="str">
        <f>"Q"&amp;ROUNDUP(MONTH(Orders[[#This Row],[Order_Date]])/3,0)</f>
        <v>Q1</v>
      </c>
      <c r="K1001" s="2">
        <f>(Orders[[#This Row],[Profit]]/Orders[[#This Row],[Sales]])*100</f>
        <v>16.01615147544614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ECD0-0875-4921-B0A0-B7F1B9D2B4BC}">
  <dimension ref="A1:G101"/>
  <sheetViews>
    <sheetView workbookViewId="0">
      <selection activeCell="B12" sqref="B12"/>
    </sheetView>
  </sheetViews>
  <sheetFormatPr defaultRowHeight="14.4" x14ac:dyDescent="0.3"/>
  <cols>
    <col min="1" max="1" width="14.109375" bestFit="1" customWidth="1"/>
    <col min="2" max="2" width="17.44140625" bestFit="1" customWidth="1"/>
    <col min="3" max="3" width="9.33203125" bestFit="1" customWidth="1"/>
    <col min="4" max="4" width="6.44140625" bestFit="1" customWidth="1"/>
    <col min="5" max="5" width="9.77734375" bestFit="1" customWidth="1"/>
    <col min="6" max="6" width="11.44140625" bestFit="1" customWidth="1"/>
    <col min="7" max="7" width="11.33203125" bestFit="1" customWidth="1"/>
  </cols>
  <sheetData>
    <row r="1" spans="1:7" x14ac:dyDescent="0.3">
      <c r="A1" t="s">
        <v>0</v>
      </c>
      <c r="B1" t="s">
        <v>1</v>
      </c>
      <c r="C1" t="s">
        <v>2</v>
      </c>
      <c r="D1" t="s">
        <v>3</v>
      </c>
      <c r="E1" t="s">
        <v>4</v>
      </c>
      <c r="F1" t="s">
        <v>5</v>
      </c>
      <c r="G1" t="s">
        <v>6</v>
      </c>
    </row>
    <row r="2" spans="1:7" x14ac:dyDescent="0.3">
      <c r="A2" t="s">
        <v>7</v>
      </c>
      <c r="B2" t="s">
        <v>8</v>
      </c>
      <c r="C2" t="s">
        <v>9</v>
      </c>
      <c r="D2">
        <v>25</v>
      </c>
      <c r="E2" t="s">
        <v>10</v>
      </c>
      <c r="F2" t="s">
        <v>11</v>
      </c>
      <c r="G2" t="s">
        <v>12</v>
      </c>
    </row>
    <row r="3" spans="1:7" x14ac:dyDescent="0.3">
      <c r="A3" t="s">
        <v>13</v>
      </c>
      <c r="B3" t="s">
        <v>14</v>
      </c>
      <c r="C3" t="s">
        <v>15</v>
      </c>
      <c r="D3">
        <v>52</v>
      </c>
      <c r="E3" t="s">
        <v>16</v>
      </c>
      <c r="F3" t="s">
        <v>11</v>
      </c>
      <c r="G3" t="s">
        <v>12</v>
      </c>
    </row>
    <row r="4" spans="1:7" x14ac:dyDescent="0.3">
      <c r="A4" t="s">
        <v>17</v>
      </c>
      <c r="B4" t="s">
        <v>18</v>
      </c>
      <c r="C4" t="s">
        <v>9</v>
      </c>
      <c r="D4">
        <v>45</v>
      </c>
      <c r="E4" t="s">
        <v>19</v>
      </c>
      <c r="F4" t="s">
        <v>20</v>
      </c>
      <c r="G4" t="s">
        <v>21</v>
      </c>
    </row>
    <row r="5" spans="1:7" x14ac:dyDescent="0.3">
      <c r="A5" t="s">
        <v>22</v>
      </c>
      <c r="B5" t="s">
        <v>23</v>
      </c>
      <c r="C5" t="s">
        <v>15</v>
      </c>
      <c r="D5">
        <v>52</v>
      </c>
      <c r="E5" t="s">
        <v>16</v>
      </c>
      <c r="F5" t="s">
        <v>11</v>
      </c>
      <c r="G5" t="s">
        <v>21</v>
      </c>
    </row>
    <row r="6" spans="1:7" x14ac:dyDescent="0.3">
      <c r="A6" t="s">
        <v>24</v>
      </c>
      <c r="B6" t="s">
        <v>25</v>
      </c>
      <c r="C6" t="s">
        <v>9</v>
      </c>
      <c r="D6">
        <v>48</v>
      </c>
      <c r="E6" t="s">
        <v>19</v>
      </c>
      <c r="F6" t="s">
        <v>20</v>
      </c>
      <c r="G6" t="s">
        <v>26</v>
      </c>
    </row>
    <row r="7" spans="1:7" x14ac:dyDescent="0.3">
      <c r="A7" t="s">
        <v>27</v>
      </c>
      <c r="B7" t="s">
        <v>28</v>
      </c>
      <c r="C7" t="s">
        <v>15</v>
      </c>
      <c r="D7">
        <v>49</v>
      </c>
      <c r="E7" t="s">
        <v>16</v>
      </c>
      <c r="F7" t="s">
        <v>11</v>
      </c>
      <c r="G7" t="s">
        <v>12</v>
      </c>
    </row>
    <row r="8" spans="1:7" x14ac:dyDescent="0.3">
      <c r="A8" t="s">
        <v>29</v>
      </c>
      <c r="B8" t="s">
        <v>30</v>
      </c>
      <c r="C8" t="s">
        <v>9</v>
      </c>
      <c r="D8">
        <v>27</v>
      </c>
      <c r="E8" t="s">
        <v>10</v>
      </c>
      <c r="F8" t="s">
        <v>11</v>
      </c>
      <c r="G8" t="s">
        <v>12</v>
      </c>
    </row>
    <row r="9" spans="1:7" x14ac:dyDescent="0.3">
      <c r="A9" t="s">
        <v>31</v>
      </c>
      <c r="B9" t="s">
        <v>32</v>
      </c>
      <c r="C9" t="s">
        <v>15</v>
      </c>
      <c r="D9">
        <v>22</v>
      </c>
      <c r="E9" t="s">
        <v>16</v>
      </c>
      <c r="F9" t="s">
        <v>11</v>
      </c>
      <c r="G9" t="s">
        <v>21</v>
      </c>
    </row>
    <row r="10" spans="1:7" x14ac:dyDescent="0.3">
      <c r="A10" t="s">
        <v>33</v>
      </c>
      <c r="B10" t="s">
        <v>34</v>
      </c>
      <c r="C10" t="s">
        <v>9</v>
      </c>
      <c r="D10">
        <v>21</v>
      </c>
      <c r="E10" t="s">
        <v>35</v>
      </c>
      <c r="F10" t="s">
        <v>36</v>
      </c>
      <c r="G10" t="s">
        <v>12</v>
      </c>
    </row>
    <row r="11" spans="1:7" x14ac:dyDescent="0.3">
      <c r="A11" t="s">
        <v>37</v>
      </c>
      <c r="B11" t="s">
        <v>38</v>
      </c>
      <c r="C11" t="s">
        <v>15</v>
      </c>
      <c r="D11">
        <v>48</v>
      </c>
      <c r="E11" t="s">
        <v>10</v>
      </c>
      <c r="F11" t="s">
        <v>11</v>
      </c>
      <c r="G11" t="s">
        <v>26</v>
      </c>
    </row>
    <row r="12" spans="1:7" x14ac:dyDescent="0.3">
      <c r="A12" t="s">
        <v>39</v>
      </c>
      <c r="B12" t="s">
        <v>40</v>
      </c>
      <c r="C12" t="s">
        <v>9</v>
      </c>
      <c r="D12">
        <v>54</v>
      </c>
      <c r="E12" t="s">
        <v>16</v>
      </c>
      <c r="F12" t="s">
        <v>11</v>
      </c>
      <c r="G12" t="s">
        <v>21</v>
      </c>
    </row>
    <row r="13" spans="1:7" x14ac:dyDescent="0.3">
      <c r="A13" t="s">
        <v>41</v>
      </c>
      <c r="B13" t="s">
        <v>42</v>
      </c>
      <c r="C13" t="s">
        <v>15</v>
      </c>
      <c r="D13">
        <v>52</v>
      </c>
      <c r="E13" t="s">
        <v>19</v>
      </c>
      <c r="F13" t="s">
        <v>20</v>
      </c>
      <c r="G13" t="s">
        <v>26</v>
      </c>
    </row>
    <row r="14" spans="1:7" x14ac:dyDescent="0.3">
      <c r="A14" t="s">
        <v>43</v>
      </c>
      <c r="B14" t="s">
        <v>44</v>
      </c>
      <c r="C14" t="s">
        <v>9</v>
      </c>
      <c r="D14">
        <v>43</v>
      </c>
      <c r="E14" t="s">
        <v>10</v>
      </c>
      <c r="F14" t="s">
        <v>11</v>
      </c>
      <c r="G14" t="s">
        <v>21</v>
      </c>
    </row>
    <row r="15" spans="1:7" x14ac:dyDescent="0.3">
      <c r="A15" t="s">
        <v>45</v>
      </c>
      <c r="B15" t="s">
        <v>46</v>
      </c>
      <c r="C15" t="s">
        <v>15</v>
      </c>
      <c r="D15">
        <v>50</v>
      </c>
      <c r="E15" t="s">
        <v>10</v>
      </c>
      <c r="F15" t="s">
        <v>11</v>
      </c>
      <c r="G15" t="s">
        <v>12</v>
      </c>
    </row>
    <row r="16" spans="1:7" x14ac:dyDescent="0.3">
      <c r="A16" t="s">
        <v>47</v>
      </c>
      <c r="B16" t="s">
        <v>48</v>
      </c>
      <c r="C16" t="s">
        <v>9</v>
      </c>
      <c r="D16">
        <v>47</v>
      </c>
      <c r="E16" t="s">
        <v>16</v>
      </c>
      <c r="F16" t="s">
        <v>11</v>
      </c>
      <c r="G16" t="s">
        <v>26</v>
      </c>
    </row>
    <row r="17" spans="1:7" x14ac:dyDescent="0.3">
      <c r="A17" t="s">
        <v>49</v>
      </c>
      <c r="B17" t="s">
        <v>50</v>
      </c>
      <c r="C17" t="s">
        <v>15</v>
      </c>
      <c r="D17">
        <v>32</v>
      </c>
      <c r="E17" t="s">
        <v>16</v>
      </c>
      <c r="F17" t="s">
        <v>11</v>
      </c>
      <c r="G17" t="s">
        <v>26</v>
      </c>
    </row>
    <row r="18" spans="1:7" x14ac:dyDescent="0.3">
      <c r="A18" t="s">
        <v>51</v>
      </c>
      <c r="B18" t="s">
        <v>52</v>
      </c>
      <c r="C18" t="s">
        <v>9</v>
      </c>
      <c r="D18">
        <v>28</v>
      </c>
      <c r="E18" t="s">
        <v>53</v>
      </c>
      <c r="F18" t="s">
        <v>53</v>
      </c>
      <c r="G18" t="s">
        <v>26</v>
      </c>
    </row>
    <row r="19" spans="1:7" x14ac:dyDescent="0.3">
      <c r="A19" t="s">
        <v>54</v>
      </c>
      <c r="B19" t="s">
        <v>55</v>
      </c>
      <c r="C19" t="s">
        <v>15</v>
      </c>
      <c r="D19">
        <v>53</v>
      </c>
      <c r="E19" t="s">
        <v>53</v>
      </c>
      <c r="F19" t="s">
        <v>53</v>
      </c>
      <c r="G19" t="s">
        <v>12</v>
      </c>
    </row>
    <row r="20" spans="1:7" x14ac:dyDescent="0.3">
      <c r="A20" t="s">
        <v>56</v>
      </c>
      <c r="B20" t="s">
        <v>57</v>
      </c>
      <c r="C20" t="s">
        <v>9</v>
      </c>
      <c r="D20">
        <v>33</v>
      </c>
      <c r="E20" t="s">
        <v>35</v>
      </c>
      <c r="F20" t="s">
        <v>36</v>
      </c>
      <c r="G20" t="s">
        <v>12</v>
      </c>
    </row>
    <row r="21" spans="1:7" x14ac:dyDescent="0.3">
      <c r="A21" t="s">
        <v>58</v>
      </c>
      <c r="B21" t="s">
        <v>59</v>
      </c>
      <c r="C21" t="s">
        <v>15</v>
      </c>
      <c r="D21">
        <v>52</v>
      </c>
      <c r="E21" t="s">
        <v>53</v>
      </c>
      <c r="F21" t="s">
        <v>53</v>
      </c>
      <c r="G21" t="s">
        <v>26</v>
      </c>
    </row>
    <row r="22" spans="1:7" x14ac:dyDescent="0.3">
      <c r="A22" t="s">
        <v>60</v>
      </c>
      <c r="B22" t="s">
        <v>61</v>
      </c>
      <c r="C22" t="s">
        <v>9</v>
      </c>
      <c r="D22">
        <v>23</v>
      </c>
      <c r="E22" t="s">
        <v>19</v>
      </c>
      <c r="F22" t="s">
        <v>20</v>
      </c>
      <c r="G22" t="s">
        <v>12</v>
      </c>
    </row>
    <row r="23" spans="1:7" x14ac:dyDescent="0.3">
      <c r="A23" t="s">
        <v>62</v>
      </c>
      <c r="B23" t="s">
        <v>63</v>
      </c>
      <c r="C23" t="s">
        <v>15</v>
      </c>
      <c r="D23">
        <v>46</v>
      </c>
      <c r="E23" t="s">
        <v>10</v>
      </c>
      <c r="F23" t="s">
        <v>11</v>
      </c>
      <c r="G23" t="s">
        <v>12</v>
      </c>
    </row>
    <row r="24" spans="1:7" x14ac:dyDescent="0.3">
      <c r="A24" t="s">
        <v>64</v>
      </c>
      <c r="B24" t="s">
        <v>65</v>
      </c>
      <c r="C24" t="s">
        <v>9</v>
      </c>
      <c r="D24">
        <v>44</v>
      </c>
      <c r="E24" t="s">
        <v>10</v>
      </c>
      <c r="F24" t="s">
        <v>11</v>
      </c>
      <c r="G24" t="s">
        <v>26</v>
      </c>
    </row>
    <row r="25" spans="1:7" x14ac:dyDescent="0.3">
      <c r="A25" t="s">
        <v>66</v>
      </c>
      <c r="B25" t="s">
        <v>67</v>
      </c>
      <c r="C25" t="s">
        <v>15</v>
      </c>
      <c r="D25">
        <v>26</v>
      </c>
      <c r="E25" t="s">
        <v>53</v>
      </c>
      <c r="F25" t="s">
        <v>53</v>
      </c>
      <c r="G25" t="s">
        <v>12</v>
      </c>
    </row>
    <row r="26" spans="1:7" x14ac:dyDescent="0.3">
      <c r="A26" t="s">
        <v>68</v>
      </c>
      <c r="B26" t="s">
        <v>69</v>
      </c>
      <c r="C26" t="s">
        <v>9</v>
      </c>
      <c r="D26">
        <v>27</v>
      </c>
      <c r="E26" t="s">
        <v>35</v>
      </c>
      <c r="F26" t="s">
        <v>36</v>
      </c>
      <c r="G26" t="s">
        <v>21</v>
      </c>
    </row>
    <row r="27" spans="1:7" x14ac:dyDescent="0.3">
      <c r="A27" t="s">
        <v>70</v>
      </c>
      <c r="B27" t="s">
        <v>71</v>
      </c>
      <c r="C27" t="s">
        <v>15</v>
      </c>
      <c r="D27">
        <v>46</v>
      </c>
      <c r="E27" t="s">
        <v>35</v>
      </c>
      <c r="F27" t="s">
        <v>36</v>
      </c>
      <c r="G27" t="s">
        <v>12</v>
      </c>
    </row>
    <row r="28" spans="1:7" x14ac:dyDescent="0.3">
      <c r="A28" t="s">
        <v>72</v>
      </c>
      <c r="B28" t="s">
        <v>73</v>
      </c>
      <c r="C28" t="s">
        <v>9</v>
      </c>
      <c r="D28">
        <v>22</v>
      </c>
      <c r="E28" t="s">
        <v>19</v>
      </c>
      <c r="F28" t="s">
        <v>20</v>
      </c>
      <c r="G28" t="s">
        <v>12</v>
      </c>
    </row>
    <row r="29" spans="1:7" x14ac:dyDescent="0.3">
      <c r="A29" t="s">
        <v>74</v>
      </c>
      <c r="B29" t="s">
        <v>75</v>
      </c>
      <c r="C29" t="s">
        <v>15</v>
      </c>
      <c r="D29">
        <v>40</v>
      </c>
      <c r="E29" t="s">
        <v>16</v>
      </c>
      <c r="F29" t="s">
        <v>11</v>
      </c>
      <c r="G29" t="s">
        <v>26</v>
      </c>
    </row>
    <row r="30" spans="1:7" x14ac:dyDescent="0.3">
      <c r="A30" t="s">
        <v>76</v>
      </c>
      <c r="B30" t="s">
        <v>77</v>
      </c>
      <c r="C30" t="s">
        <v>9</v>
      </c>
      <c r="D30">
        <v>46</v>
      </c>
      <c r="E30" t="s">
        <v>35</v>
      </c>
      <c r="F30" t="s">
        <v>36</v>
      </c>
      <c r="G30" t="s">
        <v>26</v>
      </c>
    </row>
    <row r="31" spans="1:7" x14ac:dyDescent="0.3">
      <c r="A31" t="s">
        <v>78</v>
      </c>
      <c r="B31" t="s">
        <v>79</v>
      </c>
      <c r="C31" t="s">
        <v>15</v>
      </c>
      <c r="D31">
        <v>31</v>
      </c>
      <c r="E31" t="s">
        <v>10</v>
      </c>
      <c r="F31" t="s">
        <v>11</v>
      </c>
      <c r="G31" t="s">
        <v>26</v>
      </c>
    </row>
    <row r="32" spans="1:7" x14ac:dyDescent="0.3">
      <c r="A32" t="s">
        <v>80</v>
      </c>
      <c r="B32" t="s">
        <v>81</v>
      </c>
      <c r="C32" t="s">
        <v>9</v>
      </c>
      <c r="D32">
        <v>21</v>
      </c>
      <c r="E32" t="s">
        <v>10</v>
      </c>
      <c r="F32" t="s">
        <v>11</v>
      </c>
      <c r="G32" t="s">
        <v>21</v>
      </c>
    </row>
    <row r="33" spans="1:7" x14ac:dyDescent="0.3">
      <c r="A33" t="s">
        <v>82</v>
      </c>
      <c r="B33" t="s">
        <v>83</v>
      </c>
      <c r="C33" t="s">
        <v>15</v>
      </c>
      <c r="D33">
        <v>35</v>
      </c>
      <c r="E33" t="s">
        <v>35</v>
      </c>
      <c r="F33" t="s">
        <v>36</v>
      </c>
      <c r="G33" t="s">
        <v>12</v>
      </c>
    </row>
    <row r="34" spans="1:7" x14ac:dyDescent="0.3">
      <c r="A34" t="s">
        <v>84</v>
      </c>
      <c r="B34" t="s">
        <v>85</v>
      </c>
      <c r="C34" t="s">
        <v>9</v>
      </c>
      <c r="D34">
        <v>43</v>
      </c>
      <c r="E34" t="s">
        <v>35</v>
      </c>
      <c r="F34" t="s">
        <v>36</v>
      </c>
      <c r="G34" t="s">
        <v>26</v>
      </c>
    </row>
    <row r="35" spans="1:7" x14ac:dyDescent="0.3">
      <c r="A35" t="s">
        <v>86</v>
      </c>
      <c r="B35" t="s">
        <v>87</v>
      </c>
      <c r="C35" t="s">
        <v>15</v>
      </c>
      <c r="D35">
        <v>50</v>
      </c>
      <c r="E35" t="s">
        <v>53</v>
      </c>
      <c r="F35" t="s">
        <v>53</v>
      </c>
      <c r="G35" t="s">
        <v>12</v>
      </c>
    </row>
    <row r="36" spans="1:7" x14ac:dyDescent="0.3">
      <c r="A36" t="s">
        <v>88</v>
      </c>
      <c r="B36" t="s">
        <v>89</v>
      </c>
      <c r="C36" t="s">
        <v>9</v>
      </c>
      <c r="D36">
        <v>21</v>
      </c>
      <c r="E36" t="s">
        <v>35</v>
      </c>
      <c r="F36" t="s">
        <v>36</v>
      </c>
      <c r="G36" t="s">
        <v>12</v>
      </c>
    </row>
    <row r="37" spans="1:7" x14ac:dyDescent="0.3">
      <c r="A37" t="s">
        <v>90</v>
      </c>
      <c r="B37" t="s">
        <v>91</v>
      </c>
      <c r="C37" t="s">
        <v>15</v>
      </c>
      <c r="D37">
        <v>29</v>
      </c>
      <c r="E37" t="s">
        <v>35</v>
      </c>
      <c r="F37" t="s">
        <v>36</v>
      </c>
      <c r="G37" t="s">
        <v>26</v>
      </c>
    </row>
    <row r="38" spans="1:7" x14ac:dyDescent="0.3">
      <c r="A38" t="s">
        <v>92</v>
      </c>
      <c r="B38" t="s">
        <v>93</v>
      </c>
      <c r="C38" t="s">
        <v>9</v>
      </c>
      <c r="D38">
        <v>34</v>
      </c>
      <c r="E38" t="s">
        <v>35</v>
      </c>
      <c r="F38" t="s">
        <v>36</v>
      </c>
      <c r="G38" t="s">
        <v>12</v>
      </c>
    </row>
    <row r="39" spans="1:7" x14ac:dyDescent="0.3">
      <c r="A39" t="s">
        <v>94</v>
      </c>
      <c r="B39" t="s">
        <v>95</v>
      </c>
      <c r="C39" t="s">
        <v>15</v>
      </c>
      <c r="D39">
        <v>51</v>
      </c>
      <c r="E39" t="s">
        <v>16</v>
      </c>
      <c r="F39" t="s">
        <v>11</v>
      </c>
      <c r="G39" t="s">
        <v>12</v>
      </c>
    </row>
    <row r="40" spans="1:7" x14ac:dyDescent="0.3">
      <c r="A40" t="s">
        <v>96</v>
      </c>
      <c r="B40" t="s">
        <v>97</v>
      </c>
      <c r="C40" t="s">
        <v>9</v>
      </c>
      <c r="D40">
        <v>33</v>
      </c>
      <c r="E40" t="s">
        <v>35</v>
      </c>
      <c r="F40" t="s">
        <v>36</v>
      </c>
      <c r="G40" t="s">
        <v>26</v>
      </c>
    </row>
    <row r="41" spans="1:7" x14ac:dyDescent="0.3">
      <c r="A41" t="s">
        <v>98</v>
      </c>
      <c r="B41" t="s">
        <v>99</v>
      </c>
      <c r="C41" t="s">
        <v>15</v>
      </c>
      <c r="D41">
        <v>52</v>
      </c>
      <c r="E41" t="s">
        <v>19</v>
      </c>
      <c r="F41" t="s">
        <v>20</v>
      </c>
      <c r="G41" t="s">
        <v>12</v>
      </c>
    </row>
    <row r="42" spans="1:7" x14ac:dyDescent="0.3">
      <c r="A42" t="s">
        <v>100</v>
      </c>
      <c r="B42" t="s">
        <v>101</v>
      </c>
      <c r="C42" t="s">
        <v>9</v>
      </c>
      <c r="D42">
        <v>43</v>
      </c>
      <c r="E42" t="s">
        <v>19</v>
      </c>
      <c r="F42" t="s">
        <v>20</v>
      </c>
      <c r="G42" t="s">
        <v>21</v>
      </c>
    </row>
    <row r="43" spans="1:7" x14ac:dyDescent="0.3">
      <c r="A43" t="s">
        <v>102</v>
      </c>
      <c r="B43" t="s">
        <v>103</v>
      </c>
      <c r="C43" t="s">
        <v>15</v>
      </c>
      <c r="D43">
        <v>55</v>
      </c>
      <c r="E43" t="s">
        <v>35</v>
      </c>
      <c r="F43" t="s">
        <v>36</v>
      </c>
      <c r="G43" t="s">
        <v>26</v>
      </c>
    </row>
    <row r="44" spans="1:7" x14ac:dyDescent="0.3">
      <c r="A44" t="s">
        <v>104</v>
      </c>
      <c r="B44" t="s">
        <v>105</v>
      </c>
      <c r="C44" t="s">
        <v>9</v>
      </c>
      <c r="D44">
        <v>42</v>
      </c>
      <c r="E44" t="s">
        <v>35</v>
      </c>
      <c r="F44" t="s">
        <v>36</v>
      </c>
      <c r="G44" t="s">
        <v>12</v>
      </c>
    </row>
    <row r="45" spans="1:7" x14ac:dyDescent="0.3">
      <c r="A45" t="s">
        <v>106</v>
      </c>
      <c r="B45" t="s">
        <v>107</v>
      </c>
      <c r="C45" t="s">
        <v>15</v>
      </c>
      <c r="D45">
        <v>22</v>
      </c>
      <c r="E45" t="s">
        <v>35</v>
      </c>
      <c r="F45" t="s">
        <v>36</v>
      </c>
      <c r="G45" t="s">
        <v>21</v>
      </c>
    </row>
    <row r="46" spans="1:7" x14ac:dyDescent="0.3">
      <c r="A46" t="s">
        <v>108</v>
      </c>
      <c r="B46" t="s">
        <v>109</v>
      </c>
      <c r="C46" t="s">
        <v>9</v>
      </c>
      <c r="D46">
        <v>32</v>
      </c>
      <c r="E46" t="s">
        <v>10</v>
      </c>
      <c r="F46" t="s">
        <v>11</v>
      </c>
      <c r="G46" t="s">
        <v>21</v>
      </c>
    </row>
    <row r="47" spans="1:7" x14ac:dyDescent="0.3">
      <c r="A47" t="s">
        <v>110</v>
      </c>
      <c r="B47" t="s">
        <v>111</v>
      </c>
      <c r="C47" t="s">
        <v>15</v>
      </c>
      <c r="D47">
        <v>37</v>
      </c>
      <c r="E47" t="s">
        <v>35</v>
      </c>
      <c r="F47" t="s">
        <v>36</v>
      </c>
      <c r="G47" t="s">
        <v>21</v>
      </c>
    </row>
    <row r="48" spans="1:7" x14ac:dyDescent="0.3">
      <c r="A48" t="s">
        <v>112</v>
      </c>
      <c r="B48" t="s">
        <v>113</v>
      </c>
      <c r="C48" t="s">
        <v>9</v>
      </c>
      <c r="D48">
        <v>26</v>
      </c>
      <c r="E48" t="s">
        <v>16</v>
      </c>
      <c r="F48" t="s">
        <v>11</v>
      </c>
      <c r="G48" t="s">
        <v>21</v>
      </c>
    </row>
    <row r="49" spans="1:7" x14ac:dyDescent="0.3">
      <c r="A49" t="s">
        <v>114</v>
      </c>
      <c r="B49" t="s">
        <v>115</v>
      </c>
      <c r="C49" t="s">
        <v>15</v>
      </c>
      <c r="D49">
        <v>21</v>
      </c>
      <c r="E49" t="s">
        <v>19</v>
      </c>
      <c r="F49" t="s">
        <v>20</v>
      </c>
      <c r="G49" t="s">
        <v>12</v>
      </c>
    </row>
    <row r="50" spans="1:7" x14ac:dyDescent="0.3">
      <c r="A50" t="s">
        <v>116</v>
      </c>
      <c r="B50" t="s">
        <v>117</v>
      </c>
      <c r="C50" t="s">
        <v>9</v>
      </c>
      <c r="D50">
        <v>38</v>
      </c>
      <c r="E50" t="s">
        <v>10</v>
      </c>
      <c r="F50" t="s">
        <v>11</v>
      </c>
      <c r="G50" t="s">
        <v>21</v>
      </c>
    </row>
    <row r="51" spans="1:7" x14ac:dyDescent="0.3">
      <c r="A51" t="s">
        <v>118</v>
      </c>
      <c r="B51" t="s">
        <v>119</v>
      </c>
      <c r="C51" t="s">
        <v>15</v>
      </c>
      <c r="D51">
        <v>32</v>
      </c>
      <c r="E51" t="s">
        <v>35</v>
      </c>
      <c r="F51" t="s">
        <v>36</v>
      </c>
      <c r="G51" t="s">
        <v>12</v>
      </c>
    </row>
    <row r="52" spans="1:7" x14ac:dyDescent="0.3">
      <c r="A52" t="s">
        <v>120</v>
      </c>
      <c r="B52" t="s">
        <v>121</v>
      </c>
      <c r="C52" t="s">
        <v>9</v>
      </c>
      <c r="D52">
        <v>25</v>
      </c>
      <c r="E52" t="s">
        <v>53</v>
      </c>
      <c r="F52" t="s">
        <v>53</v>
      </c>
      <c r="G52" t="s">
        <v>21</v>
      </c>
    </row>
    <row r="53" spans="1:7" x14ac:dyDescent="0.3">
      <c r="A53" t="s">
        <v>122</v>
      </c>
      <c r="B53" t="s">
        <v>123</v>
      </c>
      <c r="C53" t="s">
        <v>15</v>
      </c>
      <c r="D53">
        <v>37</v>
      </c>
      <c r="E53" t="s">
        <v>10</v>
      </c>
      <c r="F53" t="s">
        <v>11</v>
      </c>
      <c r="G53" t="s">
        <v>26</v>
      </c>
    </row>
    <row r="54" spans="1:7" x14ac:dyDescent="0.3">
      <c r="A54" t="s">
        <v>124</v>
      </c>
      <c r="B54" t="s">
        <v>125</v>
      </c>
      <c r="C54" t="s">
        <v>9</v>
      </c>
      <c r="D54">
        <v>38</v>
      </c>
      <c r="E54" t="s">
        <v>10</v>
      </c>
      <c r="F54" t="s">
        <v>11</v>
      </c>
      <c r="G54" t="s">
        <v>26</v>
      </c>
    </row>
    <row r="55" spans="1:7" x14ac:dyDescent="0.3">
      <c r="A55" t="s">
        <v>126</v>
      </c>
      <c r="B55" t="s">
        <v>127</v>
      </c>
      <c r="C55" t="s">
        <v>15</v>
      </c>
      <c r="D55">
        <v>50</v>
      </c>
      <c r="E55" t="s">
        <v>53</v>
      </c>
      <c r="F55" t="s">
        <v>53</v>
      </c>
      <c r="G55" t="s">
        <v>26</v>
      </c>
    </row>
    <row r="56" spans="1:7" x14ac:dyDescent="0.3">
      <c r="A56" t="s">
        <v>128</v>
      </c>
      <c r="B56" t="s">
        <v>129</v>
      </c>
      <c r="C56" t="s">
        <v>9</v>
      </c>
      <c r="D56">
        <v>52</v>
      </c>
      <c r="E56" t="s">
        <v>53</v>
      </c>
      <c r="F56" t="s">
        <v>53</v>
      </c>
      <c r="G56" t="s">
        <v>12</v>
      </c>
    </row>
    <row r="57" spans="1:7" x14ac:dyDescent="0.3">
      <c r="A57" t="s">
        <v>130</v>
      </c>
      <c r="B57" t="s">
        <v>131</v>
      </c>
      <c r="C57" t="s">
        <v>15</v>
      </c>
      <c r="D57">
        <v>22</v>
      </c>
      <c r="E57" t="s">
        <v>16</v>
      </c>
      <c r="F57" t="s">
        <v>11</v>
      </c>
      <c r="G57" t="s">
        <v>12</v>
      </c>
    </row>
    <row r="58" spans="1:7" x14ac:dyDescent="0.3">
      <c r="A58" t="s">
        <v>132</v>
      </c>
      <c r="B58" t="s">
        <v>133</v>
      </c>
      <c r="C58" t="s">
        <v>9</v>
      </c>
      <c r="D58">
        <v>42</v>
      </c>
      <c r="E58" t="s">
        <v>19</v>
      </c>
      <c r="F58" t="s">
        <v>20</v>
      </c>
      <c r="G58" t="s">
        <v>12</v>
      </c>
    </row>
    <row r="59" spans="1:7" x14ac:dyDescent="0.3">
      <c r="A59" t="s">
        <v>134</v>
      </c>
      <c r="B59" t="s">
        <v>135</v>
      </c>
      <c r="C59" t="s">
        <v>15</v>
      </c>
      <c r="D59">
        <v>37</v>
      </c>
      <c r="E59" t="s">
        <v>10</v>
      </c>
      <c r="F59" t="s">
        <v>11</v>
      </c>
      <c r="G59" t="s">
        <v>21</v>
      </c>
    </row>
    <row r="60" spans="1:7" x14ac:dyDescent="0.3">
      <c r="A60" t="s">
        <v>136</v>
      </c>
      <c r="B60" t="s">
        <v>137</v>
      </c>
      <c r="C60" t="s">
        <v>9</v>
      </c>
      <c r="D60">
        <v>53</v>
      </c>
      <c r="E60" t="s">
        <v>53</v>
      </c>
      <c r="F60" t="s">
        <v>53</v>
      </c>
      <c r="G60" t="s">
        <v>21</v>
      </c>
    </row>
    <row r="61" spans="1:7" x14ac:dyDescent="0.3">
      <c r="A61" t="s">
        <v>138</v>
      </c>
      <c r="B61" t="s">
        <v>139</v>
      </c>
      <c r="C61" t="s">
        <v>15</v>
      </c>
      <c r="D61">
        <v>48</v>
      </c>
      <c r="E61" t="s">
        <v>35</v>
      </c>
      <c r="F61" t="s">
        <v>36</v>
      </c>
      <c r="G61" t="s">
        <v>21</v>
      </c>
    </row>
    <row r="62" spans="1:7" x14ac:dyDescent="0.3">
      <c r="A62" t="s">
        <v>140</v>
      </c>
      <c r="B62" t="s">
        <v>141</v>
      </c>
      <c r="C62" t="s">
        <v>9</v>
      </c>
      <c r="D62">
        <v>22</v>
      </c>
      <c r="E62" t="s">
        <v>10</v>
      </c>
      <c r="F62" t="s">
        <v>11</v>
      </c>
      <c r="G62" t="s">
        <v>12</v>
      </c>
    </row>
    <row r="63" spans="1:7" x14ac:dyDescent="0.3">
      <c r="A63" t="s">
        <v>142</v>
      </c>
      <c r="B63" t="s">
        <v>143</v>
      </c>
      <c r="C63" t="s">
        <v>15</v>
      </c>
      <c r="D63">
        <v>23</v>
      </c>
      <c r="E63" t="s">
        <v>10</v>
      </c>
      <c r="F63" t="s">
        <v>11</v>
      </c>
      <c r="G63" t="s">
        <v>26</v>
      </c>
    </row>
    <row r="64" spans="1:7" x14ac:dyDescent="0.3">
      <c r="A64" t="s">
        <v>144</v>
      </c>
      <c r="B64" t="s">
        <v>145</v>
      </c>
      <c r="C64" t="s">
        <v>9</v>
      </c>
      <c r="D64">
        <v>49</v>
      </c>
      <c r="E64" t="s">
        <v>10</v>
      </c>
      <c r="F64" t="s">
        <v>11</v>
      </c>
      <c r="G64" t="s">
        <v>26</v>
      </c>
    </row>
    <row r="65" spans="1:7" x14ac:dyDescent="0.3">
      <c r="A65" t="s">
        <v>146</v>
      </c>
      <c r="B65" t="s">
        <v>147</v>
      </c>
      <c r="C65" t="s">
        <v>15</v>
      </c>
      <c r="D65">
        <v>48</v>
      </c>
      <c r="E65" t="s">
        <v>35</v>
      </c>
      <c r="F65" t="s">
        <v>36</v>
      </c>
      <c r="G65" t="s">
        <v>26</v>
      </c>
    </row>
    <row r="66" spans="1:7" x14ac:dyDescent="0.3">
      <c r="A66" t="s">
        <v>148</v>
      </c>
      <c r="B66" t="s">
        <v>149</v>
      </c>
      <c r="C66" t="s">
        <v>9</v>
      </c>
      <c r="D66">
        <v>54</v>
      </c>
      <c r="E66" t="s">
        <v>10</v>
      </c>
      <c r="F66" t="s">
        <v>11</v>
      </c>
      <c r="G66" t="s">
        <v>12</v>
      </c>
    </row>
    <row r="67" spans="1:7" x14ac:dyDescent="0.3">
      <c r="A67" t="s">
        <v>150</v>
      </c>
      <c r="B67" t="s">
        <v>151</v>
      </c>
      <c r="C67" t="s">
        <v>15</v>
      </c>
      <c r="D67">
        <v>54</v>
      </c>
      <c r="E67" t="s">
        <v>10</v>
      </c>
      <c r="F67" t="s">
        <v>11</v>
      </c>
      <c r="G67" t="s">
        <v>26</v>
      </c>
    </row>
    <row r="68" spans="1:7" x14ac:dyDescent="0.3">
      <c r="A68" t="s">
        <v>152</v>
      </c>
      <c r="B68" t="s">
        <v>153</v>
      </c>
      <c r="C68" t="s">
        <v>9</v>
      </c>
      <c r="D68">
        <v>46</v>
      </c>
      <c r="E68" t="s">
        <v>16</v>
      </c>
      <c r="F68" t="s">
        <v>11</v>
      </c>
      <c r="G68" t="s">
        <v>26</v>
      </c>
    </row>
    <row r="69" spans="1:7" x14ac:dyDescent="0.3">
      <c r="A69" t="s">
        <v>154</v>
      </c>
      <c r="B69" t="s">
        <v>155</v>
      </c>
      <c r="C69" t="s">
        <v>15</v>
      </c>
      <c r="D69">
        <v>41</v>
      </c>
      <c r="E69" t="s">
        <v>35</v>
      </c>
      <c r="F69" t="s">
        <v>36</v>
      </c>
      <c r="G69" t="s">
        <v>26</v>
      </c>
    </row>
    <row r="70" spans="1:7" x14ac:dyDescent="0.3">
      <c r="A70" t="s">
        <v>156</v>
      </c>
      <c r="B70" t="s">
        <v>157</v>
      </c>
      <c r="C70" t="s">
        <v>9</v>
      </c>
      <c r="D70">
        <v>24</v>
      </c>
      <c r="E70" t="s">
        <v>19</v>
      </c>
      <c r="F70" t="s">
        <v>20</v>
      </c>
      <c r="G70" t="s">
        <v>26</v>
      </c>
    </row>
    <row r="71" spans="1:7" x14ac:dyDescent="0.3">
      <c r="A71" t="s">
        <v>158</v>
      </c>
      <c r="B71" t="s">
        <v>159</v>
      </c>
      <c r="C71" t="s">
        <v>15</v>
      </c>
      <c r="D71">
        <v>29</v>
      </c>
      <c r="E71" t="s">
        <v>53</v>
      </c>
      <c r="F71" t="s">
        <v>53</v>
      </c>
      <c r="G71" t="s">
        <v>21</v>
      </c>
    </row>
    <row r="72" spans="1:7" x14ac:dyDescent="0.3">
      <c r="A72" t="s">
        <v>160</v>
      </c>
      <c r="B72" t="s">
        <v>161</v>
      </c>
      <c r="C72" t="s">
        <v>9</v>
      </c>
      <c r="D72">
        <v>40</v>
      </c>
      <c r="E72" t="s">
        <v>16</v>
      </c>
      <c r="F72" t="s">
        <v>11</v>
      </c>
      <c r="G72" t="s">
        <v>21</v>
      </c>
    </row>
    <row r="73" spans="1:7" x14ac:dyDescent="0.3">
      <c r="A73" t="s">
        <v>162</v>
      </c>
      <c r="B73" t="s">
        <v>163</v>
      </c>
      <c r="C73" t="s">
        <v>15</v>
      </c>
      <c r="D73">
        <v>40</v>
      </c>
      <c r="E73" t="s">
        <v>16</v>
      </c>
      <c r="F73" t="s">
        <v>11</v>
      </c>
      <c r="G73" t="s">
        <v>12</v>
      </c>
    </row>
    <row r="74" spans="1:7" x14ac:dyDescent="0.3">
      <c r="A74" t="s">
        <v>164</v>
      </c>
      <c r="B74" t="s">
        <v>165</v>
      </c>
      <c r="C74" t="s">
        <v>9</v>
      </c>
      <c r="D74">
        <v>47</v>
      </c>
      <c r="E74" t="s">
        <v>10</v>
      </c>
      <c r="F74" t="s">
        <v>11</v>
      </c>
      <c r="G74" t="s">
        <v>26</v>
      </c>
    </row>
    <row r="75" spans="1:7" x14ac:dyDescent="0.3">
      <c r="A75" t="s">
        <v>166</v>
      </c>
      <c r="B75" t="s">
        <v>167</v>
      </c>
      <c r="C75" t="s">
        <v>15</v>
      </c>
      <c r="D75">
        <v>29</v>
      </c>
      <c r="E75" t="s">
        <v>53</v>
      </c>
      <c r="F75" t="s">
        <v>53</v>
      </c>
      <c r="G75" t="s">
        <v>21</v>
      </c>
    </row>
    <row r="76" spans="1:7" x14ac:dyDescent="0.3">
      <c r="A76" t="s">
        <v>168</v>
      </c>
      <c r="B76" t="s">
        <v>169</v>
      </c>
      <c r="C76" t="s">
        <v>9</v>
      </c>
      <c r="D76">
        <v>23</v>
      </c>
      <c r="E76" t="s">
        <v>35</v>
      </c>
      <c r="F76" t="s">
        <v>36</v>
      </c>
      <c r="G76" t="s">
        <v>26</v>
      </c>
    </row>
    <row r="77" spans="1:7" x14ac:dyDescent="0.3">
      <c r="A77" t="s">
        <v>170</v>
      </c>
      <c r="B77" t="s">
        <v>171</v>
      </c>
      <c r="C77" t="s">
        <v>15</v>
      </c>
      <c r="D77">
        <v>50</v>
      </c>
      <c r="E77" t="s">
        <v>10</v>
      </c>
      <c r="F77" t="s">
        <v>11</v>
      </c>
      <c r="G77" t="s">
        <v>21</v>
      </c>
    </row>
    <row r="78" spans="1:7" x14ac:dyDescent="0.3">
      <c r="A78" t="s">
        <v>172</v>
      </c>
      <c r="B78" t="s">
        <v>173</v>
      </c>
      <c r="C78" t="s">
        <v>9</v>
      </c>
      <c r="D78">
        <v>53</v>
      </c>
      <c r="E78" t="s">
        <v>35</v>
      </c>
      <c r="F78" t="s">
        <v>36</v>
      </c>
      <c r="G78" t="s">
        <v>21</v>
      </c>
    </row>
    <row r="79" spans="1:7" x14ac:dyDescent="0.3">
      <c r="A79" t="s">
        <v>174</v>
      </c>
      <c r="B79" t="s">
        <v>175</v>
      </c>
      <c r="C79" t="s">
        <v>15</v>
      </c>
      <c r="D79">
        <v>33</v>
      </c>
      <c r="E79" t="s">
        <v>19</v>
      </c>
      <c r="F79" t="s">
        <v>20</v>
      </c>
      <c r="G79" t="s">
        <v>12</v>
      </c>
    </row>
    <row r="80" spans="1:7" x14ac:dyDescent="0.3">
      <c r="A80" t="s">
        <v>176</v>
      </c>
      <c r="B80" t="s">
        <v>177</v>
      </c>
      <c r="C80" t="s">
        <v>9</v>
      </c>
      <c r="D80">
        <v>34</v>
      </c>
      <c r="E80" t="s">
        <v>16</v>
      </c>
      <c r="F80" t="s">
        <v>11</v>
      </c>
      <c r="G80" t="s">
        <v>26</v>
      </c>
    </row>
    <row r="81" spans="1:7" x14ac:dyDescent="0.3">
      <c r="A81" t="s">
        <v>178</v>
      </c>
      <c r="B81" t="s">
        <v>179</v>
      </c>
      <c r="C81" t="s">
        <v>15</v>
      </c>
      <c r="D81">
        <v>33</v>
      </c>
      <c r="E81" t="s">
        <v>19</v>
      </c>
      <c r="F81" t="s">
        <v>20</v>
      </c>
      <c r="G81" t="s">
        <v>12</v>
      </c>
    </row>
    <row r="82" spans="1:7" x14ac:dyDescent="0.3">
      <c r="A82" t="s">
        <v>180</v>
      </c>
      <c r="B82" t="s">
        <v>181</v>
      </c>
      <c r="C82" t="s">
        <v>9</v>
      </c>
      <c r="D82">
        <v>45</v>
      </c>
      <c r="E82" t="s">
        <v>16</v>
      </c>
      <c r="F82" t="s">
        <v>11</v>
      </c>
      <c r="G82" t="s">
        <v>12</v>
      </c>
    </row>
    <row r="83" spans="1:7" x14ac:dyDescent="0.3">
      <c r="A83" t="s">
        <v>182</v>
      </c>
      <c r="B83" t="s">
        <v>183</v>
      </c>
      <c r="C83" t="s">
        <v>15</v>
      </c>
      <c r="D83">
        <v>52</v>
      </c>
      <c r="E83" t="s">
        <v>35</v>
      </c>
      <c r="F83" t="s">
        <v>36</v>
      </c>
      <c r="G83" t="s">
        <v>21</v>
      </c>
    </row>
    <row r="84" spans="1:7" x14ac:dyDescent="0.3">
      <c r="A84" t="s">
        <v>184</v>
      </c>
      <c r="B84" t="s">
        <v>185</v>
      </c>
      <c r="C84" t="s">
        <v>9</v>
      </c>
      <c r="D84">
        <v>46</v>
      </c>
      <c r="E84" t="s">
        <v>53</v>
      </c>
      <c r="F84" t="s">
        <v>53</v>
      </c>
      <c r="G84" t="s">
        <v>12</v>
      </c>
    </row>
    <row r="85" spans="1:7" x14ac:dyDescent="0.3">
      <c r="A85" t="s">
        <v>186</v>
      </c>
      <c r="B85" t="s">
        <v>187</v>
      </c>
      <c r="C85" t="s">
        <v>15</v>
      </c>
      <c r="D85">
        <v>31</v>
      </c>
      <c r="E85" t="s">
        <v>16</v>
      </c>
      <c r="F85" t="s">
        <v>11</v>
      </c>
      <c r="G85" t="s">
        <v>21</v>
      </c>
    </row>
    <row r="86" spans="1:7" x14ac:dyDescent="0.3">
      <c r="A86" t="s">
        <v>188</v>
      </c>
      <c r="B86" t="s">
        <v>189</v>
      </c>
      <c r="C86" t="s">
        <v>9</v>
      </c>
      <c r="D86">
        <v>29</v>
      </c>
      <c r="E86" t="s">
        <v>53</v>
      </c>
      <c r="F86" t="s">
        <v>53</v>
      </c>
      <c r="G86" t="s">
        <v>12</v>
      </c>
    </row>
    <row r="87" spans="1:7" x14ac:dyDescent="0.3">
      <c r="A87" t="s">
        <v>190</v>
      </c>
      <c r="B87" t="s">
        <v>191</v>
      </c>
      <c r="C87" t="s">
        <v>15</v>
      </c>
      <c r="D87">
        <v>34</v>
      </c>
      <c r="E87" t="s">
        <v>19</v>
      </c>
      <c r="F87" t="s">
        <v>20</v>
      </c>
      <c r="G87" t="s">
        <v>12</v>
      </c>
    </row>
    <row r="88" spans="1:7" x14ac:dyDescent="0.3">
      <c r="A88" t="s">
        <v>192</v>
      </c>
      <c r="B88" t="s">
        <v>193</v>
      </c>
      <c r="C88" t="s">
        <v>9</v>
      </c>
      <c r="D88">
        <v>45</v>
      </c>
      <c r="E88" t="s">
        <v>16</v>
      </c>
      <c r="F88" t="s">
        <v>11</v>
      </c>
      <c r="G88" t="s">
        <v>26</v>
      </c>
    </row>
    <row r="89" spans="1:7" x14ac:dyDescent="0.3">
      <c r="A89" t="s">
        <v>194</v>
      </c>
      <c r="B89" t="s">
        <v>195</v>
      </c>
      <c r="C89" t="s">
        <v>15</v>
      </c>
      <c r="D89">
        <v>55</v>
      </c>
      <c r="E89" t="s">
        <v>53</v>
      </c>
      <c r="F89" t="s">
        <v>53</v>
      </c>
      <c r="G89" t="s">
        <v>12</v>
      </c>
    </row>
    <row r="90" spans="1:7" x14ac:dyDescent="0.3">
      <c r="A90" t="s">
        <v>196</v>
      </c>
      <c r="B90" t="s">
        <v>197</v>
      </c>
      <c r="C90" t="s">
        <v>9</v>
      </c>
      <c r="D90">
        <v>36</v>
      </c>
      <c r="E90" t="s">
        <v>35</v>
      </c>
      <c r="F90" t="s">
        <v>36</v>
      </c>
      <c r="G90" t="s">
        <v>21</v>
      </c>
    </row>
    <row r="91" spans="1:7" x14ac:dyDescent="0.3">
      <c r="A91" t="s">
        <v>198</v>
      </c>
      <c r="B91" t="s">
        <v>199</v>
      </c>
      <c r="C91" t="s">
        <v>15</v>
      </c>
      <c r="D91">
        <v>26</v>
      </c>
      <c r="E91" t="s">
        <v>16</v>
      </c>
      <c r="F91" t="s">
        <v>11</v>
      </c>
      <c r="G91" t="s">
        <v>21</v>
      </c>
    </row>
    <row r="92" spans="1:7" x14ac:dyDescent="0.3">
      <c r="A92" t="s">
        <v>200</v>
      </c>
      <c r="B92" t="s">
        <v>201</v>
      </c>
      <c r="C92" t="s">
        <v>9</v>
      </c>
      <c r="D92">
        <v>31</v>
      </c>
      <c r="E92" t="s">
        <v>10</v>
      </c>
      <c r="F92" t="s">
        <v>11</v>
      </c>
      <c r="G92" t="s">
        <v>26</v>
      </c>
    </row>
    <row r="93" spans="1:7" x14ac:dyDescent="0.3">
      <c r="A93" t="s">
        <v>202</v>
      </c>
      <c r="B93" t="s">
        <v>203</v>
      </c>
      <c r="C93" t="s">
        <v>15</v>
      </c>
      <c r="D93">
        <v>38</v>
      </c>
      <c r="E93" t="s">
        <v>10</v>
      </c>
      <c r="F93" t="s">
        <v>11</v>
      </c>
      <c r="G93" t="s">
        <v>12</v>
      </c>
    </row>
    <row r="94" spans="1:7" x14ac:dyDescent="0.3">
      <c r="A94" t="s">
        <v>204</v>
      </c>
      <c r="B94" t="s">
        <v>205</v>
      </c>
      <c r="C94" t="s">
        <v>9</v>
      </c>
      <c r="D94">
        <v>53</v>
      </c>
      <c r="E94" t="s">
        <v>35</v>
      </c>
      <c r="F94" t="s">
        <v>36</v>
      </c>
      <c r="G94" t="s">
        <v>12</v>
      </c>
    </row>
    <row r="95" spans="1:7" x14ac:dyDescent="0.3">
      <c r="A95" t="s">
        <v>206</v>
      </c>
      <c r="B95" t="s">
        <v>207</v>
      </c>
      <c r="C95" t="s">
        <v>15</v>
      </c>
      <c r="D95">
        <v>42</v>
      </c>
      <c r="E95" t="s">
        <v>53</v>
      </c>
      <c r="F95" t="s">
        <v>53</v>
      </c>
      <c r="G95" t="s">
        <v>12</v>
      </c>
    </row>
    <row r="96" spans="1:7" x14ac:dyDescent="0.3">
      <c r="A96" t="s">
        <v>208</v>
      </c>
      <c r="B96" t="s">
        <v>209</v>
      </c>
      <c r="C96" t="s">
        <v>9</v>
      </c>
      <c r="D96">
        <v>39</v>
      </c>
      <c r="E96" t="s">
        <v>16</v>
      </c>
      <c r="F96" t="s">
        <v>11</v>
      </c>
      <c r="G96" t="s">
        <v>21</v>
      </c>
    </row>
    <row r="97" spans="1:7" x14ac:dyDescent="0.3">
      <c r="A97" t="s">
        <v>210</v>
      </c>
      <c r="B97" t="s">
        <v>211</v>
      </c>
      <c r="C97" t="s">
        <v>15</v>
      </c>
      <c r="D97">
        <v>52</v>
      </c>
      <c r="E97" t="s">
        <v>35</v>
      </c>
      <c r="F97" t="s">
        <v>36</v>
      </c>
      <c r="G97" t="s">
        <v>21</v>
      </c>
    </row>
    <row r="98" spans="1:7" x14ac:dyDescent="0.3">
      <c r="A98" t="s">
        <v>212</v>
      </c>
      <c r="B98" t="s">
        <v>213</v>
      </c>
      <c r="C98" t="s">
        <v>9</v>
      </c>
      <c r="D98">
        <v>27</v>
      </c>
      <c r="E98" t="s">
        <v>35</v>
      </c>
      <c r="F98" t="s">
        <v>36</v>
      </c>
      <c r="G98" t="s">
        <v>12</v>
      </c>
    </row>
    <row r="99" spans="1:7" x14ac:dyDescent="0.3">
      <c r="A99" t="s">
        <v>214</v>
      </c>
      <c r="B99" t="s">
        <v>215</v>
      </c>
      <c r="C99" t="s">
        <v>15</v>
      </c>
      <c r="D99">
        <v>47</v>
      </c>
      <c r="E99" t="s">
        <v>16</v>
      </c>
      <c r="F99" t="s">
        <v>11</v>
      </c>
      <c r="G99" t="s">
        <v>21</v>
      </c>
    </row>
    <row r="100" spans="1:7" x14ac:dyDescent="0.3">
      <c r="A100" t="s">
        <v>216</v>
      </c>
      <c r="B100" t="s">
        <v>217</v>
      </c>
      <c r="C100" t="s">
        <v>9</v>
      </c>
      <c r="D100">
        <v>30</v>
      </c>
      <c r="E100" t="s">
        <v>19</v>
      </c>
      <c r="F100" t="s">
        <v>20</v>
      </c>
      <c r="G100" t="s">
        <v>21</v>
      </c>
    </row>
    <row r="101" spans="1:7" x14ac:dyDescent="0.3">
      <c r="A101" t="s">
        <v>218</v>
      </c>
      <c r="B101" t="s">
        <v>219</v>
      </c>
      <c r="C101" t="s">
        <v>15</v>
      </c>
      <c r="D101">
        <v>28</v>
      </c>
      <c r="E101" t="s">
        <v>53</v>
      </c>
      <c r="F101" t="s">
        <v>53</v>
      </c>
      <c r="G10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D6E1-99E0-4918-A0D9-435D6E22A4F4}">
  <dimension ref="A1:E21"/>
  <sheetViews>
    <sheetView workbookViewId="0">
      <selection activeCell="D12" sqref="D12"/>
    </sheetView>
  </sheetViews>
  <sheetFormatPr defaultRowHeight="14.4" x14ac:dyDescent="0.3"/>
  <cols>
    <col min="1" max="1" width="12.6640625" bestFit="1" customWidth="1"/>
    <col min="2" max="2" width="16" bestFit="1" customWidth="1"/>
    <col min="3" max="3" width="10.77734375" bestFit="1" customWidth="1"/>
    <col min="4" max="4" width="15" bestFit="1" customWidth="1"/>
    <col min="5" max="5" width="11.88671875" bestFit="1" customWidth="1"/>
  </cols>
  <sheetData>
    <row r="1" spans="1:5" x14ac:dyDescent="0.3">
      <c r="A1" t="s">
        <v>222</v>
      </c>
      <c r="B1" t="s">
        <v>1246</v>
      </c>
      <c r="C1" t="s">
        <v>1247</v>
      </c>
      <c r="D1" t="s">
        <v>1248</v>
      </c>
      <c r="E1" t="s">
        <v>1249</v>
      </c>
    </row>
    <row r="2" spans="1:5" x14ac:dyDescent="0.3">
      <c r="A2" t="s">
        <v>344</v>
      </c>
      <c r="B2" t="s">
        <v>1250</v>
      </c>
      <c r="C2" t="s">
        <v>1251</v>
      </c>
      <c r="D2" t="s">
        <v>1252</v>
      </c>
      <c r="E2">
        <v>9101</v>
      </c>
    </row>
    <row r="3" spans="1:5" x14ac:dyDescent="0.3">
      <c r="A3" t="s">
        <v>247</v>
      </c>
      <c r="B3" t="s">
        <v>1253</v>
      </c>
      <c r="C3" t="s">
        <v>1254</v>
      </c>
      <c r="D3" t="s">
        <v>1255</v>
      </c>
      <c r="E3">
        <v>11156</v>
      </c>
    </row>
    <row r="4" spans="1:5" x14ac:dyDescent="0.3">
      <c r="A4" t="s">
        <v>237</v>
      </c>
      <c r="B4" t="s">
        <v>1256</v>
      </c>
      <c r="C4" t="s">
        <v>1251</v>
      </c>
      <c r="D4" t="s">
        <v>1252</v>
      </c>
      <c r="E4">
        <v>8626</v>
      </c>
    </row>
    <row r="5" spans="1:5" x14ac:dyDescent="0.3">
      <c r="A5" t="s">
        <v>239</v>
      </c>
      <c r="B5" t="s">
        <v>1257</v>
      </c>
      <c r="C5" t="s">
        <v>1254</v>
      </c>
      <c r="D5" t="s">
        <v>1258</v>
      </c>
      <c r="E5">
        <v>25159</v>
      </c>
    </row>
    <row r="6" spans="1:5" x14ac:dyDescent="0.3">
      <c r="A6" t="s">
        <v>260</v>
      </c>
      <c r="B6" t="s">
        <v>1259</v>
      </c>
      <c r="C6" t="s">
        <v>1254</v>
      </c>
      <c r="D6" t="s">
        <v>1260</v>
      </c>
      <c r="E6">
        <v>55950</v>
      </c>
    </row>
    <row r="7" spans="1:5" x14ac:dyDescent="0.3">
      <c r="A7" t="s">
        <v>257</v>
      </c>
      <c r="B7" t="s">
        <v>1261</v>
      </c>
      <c r="C7" t="s">
        <v>1251</v>
      </c>
      <c r="D7" t="s">
        <v>1262</v>
      </c>
      <c r="E7">
        <v>6747</v>
      </c>
    </row>
    <row r="8" spans="1:5" x14ac:dyDescent="0.3">
      <c r="A8" t="s">
        <v>263</v>
      </c>
      <c r="B8" t="s">
        <v>1263</v>
      </c>
      <c r="C8" t="s">
        <v>1251</v>
      </c>
      <c r="D8" t="s">
        <v>1262</v>
      </c>
      <c r="E8">
        <v>7155</v>
      </c>
    </row>
    <row r="9" spans="1:5" x14ac:dyDescent="0.3">
      <c r="A9" t="s">
        <v>227</v>
      </c>
      <c r="B9" t="s">
        <v>1264</v>
      </c>
      <c r="C9" t="s">
        <v>1251</v>
      </c>
      <c r="D9" t="s">
        <v>1252</v>
      </c>
      <c r="E9">
        <v>9394</v>
      </c>
    </row>
    <row r="10" spans="1:5" x14ac:dyDescent="0.3">
      <c r="A10" t="s">
        <v>231</v>
      </c>
      <c r="B10" t="s">
        <v>1265</v>
      </c>
      <c r="C10" t="s">
        <v>1254</v>
      </c>
      <c r="D10" t="s">
        <v>1260</v>
      </c>
      <c r="E10">
        <v>54937</v>
      </c>
    </row>
    <row r="11" spans="1:5" x14ac:dyDescent="0.3">
      <c r="A11" t="s">
        <v>279</v>
      </c>
      <c r="B11" t="s">
        <v>1266</v>
      </c>
      <c r="C11" t="s">
        <v>1251</v>
      </c>
      <c r="D11" t="s">
        <v>1262</v>
      </c>
      <c r="E11">
        <v>6220</v>
      </c>
    </row>
    <row r="12" spans="1:5" x14ac:dyDescent="0.3">
      <c r="A12" t="s">
        <v>233</v>
      </c>
      <c r="B12" t="s">
        <v>1267</v>
      </c>
      <c r="C12" t="s">
        <v>1254</v>
      </c>
      <c r="D12" t="s">
        <v>1260</v>
      </c>
      <c r="E12">
        <v>55695</v>
      </c>
    </row>
    <row r="13" spans="1:5" x14ac:dyDescent="0.3">
      <c r="A13" t="s">
        <v>253</v>
      </c>
      <c r="B13" t="s">
        <v>1268</v>
      </c>
      <c r="C13" t="s">
        <v>1251</v>
      </c>
      <c r="D13" t="s">
        <v>1262</v>
      </c>
      <c r="E13">
        <v>6025</v>
      </c>
    </row>
    <row r="14" spans="1:5" x14ac:dyDescent="0.3">
      <c r="A14" t="s">
        <v>229</v>
      </c>
      <c r="B14" t="s">
        <v>1269</v>
      </c>
      <c r="C14" t="s">
        <v>1251</v>
      </c>
      <c r="D14" t="s">
        <v>1252</v>
      </c>
      <c r="E14">
        <v>8873</v>
      </c>
    </row>
    <row r="15" spans="1:5" x14ac:dyDescent="0.3">
      <c r="A15" t="s">
        <v>283</v>
      </c>
      <c r="B15" t="s">
        <v>1270</v>
      </c>
      <c r="C15" t="s">
        <v>1254</v>
      </c>
      <c r="D15" t="s">
        <v>1260</v>
      </c>
      <c r="E15">
        <v>54187</v>
      </c>
    </row>
    <row r="16" spans="1:5" x14ac:dyDescent="0.3">
      <c r="A16" t="s">
        <v>266</v>
      </c>
      <c r="B16" t="s">
        <v>1271</v>
      </c>
      <c r="C16" t="s">
        <v>1254</v>
      </c>
      <c r="D16" t="s">
        <v>1255</v>
      </c>
      <c r="E16">
        <v>11235</v>
      </c>
    </row>
    <row r="17" spans="1:5" x14ac:dyDescent="0.3">
      <c r="A17" t="s">
        <v>316</v>
      </c>
      <c r="B17" t="s">
        <v>1272</v>
      </c>
      <c r="C17" t="s">
        <v>1254</v>
      </c>
      <c r="D17" t="s">
        <v>1260</v>
      </c>
      <c r="E17">
        <v>54384</v>
      </c>
    </row>
    <row r="18" spans="1:5" x14ac:dyDescent="0.3">
      <c r="A18" t="s">
        <v>255</v>
      </c>
      <c r="B18" t="s">
        <v>1273</v>
      </c>
      <c r="C18" t="s">
        <v>1254</v>
      </c>
      <c r="D18" t="s">
        <v>1258</v>
      </c>
      <c r="E18">
        <v>25608</v>
      </c>
    </row>
    <row r="19" spans="1:5" x14ac:dyDescent="0.3">
      <c r="A19" t="s">
        <v>241</v>
      </c>
      <c r="B19" t="s">
        <v>1274</v>
      </c>
      <c r="C19" t="s">
        <v>1251</v>
      </c>
      <c r="D19" t="s">
        <v>1252</v>
      </c>
      <c r="E19">
        <v>8362</v>
      </c>
    </row>
    <row r="20" spans="1:5" x14ac:dyDescent="0.3">
      <c r="A20" t="s">
        <v>245</v>
      </c>
      <c r="B20" t="s">
        <v>1275</v>
      </c>
      <c r="C20" t="s">
        <v>1254</v>
      </c>
      <c r="D20" t="s">
        <v>1258</v>
      </c>
      <c r="E20">
        <v>24236</v>
      </c>
    </row>
    <row r="21" spans="1:5" x14ac:dyDescent="0.3">
      <c r="A21" t="s">
        <v>235</v>
      </c>
      <c r="B21" t="s">
        <v>1276</v>
      </c>
      <c r="C21" t="s">
        <v>1254</v>
      </c>
      <c r="D21" t="s">
        <v>1255</v>
      </c>
      <c r="E21">
        <v>11342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E854-A660-486A-8277-30F84228D278}">
  <dimension ref="A1:B1001"/>
  <sheetViews>
    <sheetView workbookViewId="0">
      <selection activeCell="A2" sqref="A2"/>
    </sheetView>
  </sheetViews>
  <sheetFormatPr defaultRowHeight="14.4" x14ac:dyDescent="0.3"/>
  <cols>
    <col min="1" max="1" width="10.77734375" bestFit="1" customWidth="1"/>
    <col min="2" max="2" width="11" bestFit="1" customWidth="1"/>
    <col min="3" max="4" width="10.77734375" bestFit="1" customWidth="1"/>
  </cols>
  <sheetData>
    <row r="1" spans="1:2" x14ac:dyDescent="0.3">
      <c r="A1" t="s">
        <v>220</v>
      </c>
      <c r="B1" t="s">
        <v>1277</v>
      </c>
    </row>
    <row r="2" spans="1:2" x14ac:dyDescent="0.3">
      <c r="A2" s="2" t="s">
        <v>226</v>
      </c>
      <c r="B2" s="2" t="s">
        <v>1278</v>
      </c>
    </row>
    <row r="3" spans="1:2" x14ac:dyDescent="0.3">
      <c r="A3" s="2" t="s">
        <v>228</v>
      </c>
      <c r="B3" s="2" t="s">
        <v>1278</v>
      </c>
    </row>
    <row r="4" spans="1:2" x14ac:dyDescent="0.3">
      <c r="A4" s="2" t="s">
        <v>230</v>
      </c>
      <c r="B4" s="2" t="s">
        <v>1278</v>
      </c>
    </row>
    <row r="5" spans="1:2" x14ac:dyDescent="0.3">
      <c r="A5" s="2" t="s">
        <v>232</v>
      </c>
      <c r="B5" s="2" t="s">
        <v>1279</v>
      </c>
    </row>
    <row r="6" spans="1:2" x14ac:dyDescent="0.3">
      <c r="A6" s="2" t="s">
        <v>234</v>
      </c>
      <c r="B6" s="2" t="s">
        <v>1279</v>
      </c>
    </row>
    <row r="7" spans="1:2" x14ac:dyDescent="0.3">
      <c r="A7" s="2" t="s">
        <v>236</v>
      </c>
      <c r="B7" s="2" t="s">
        <v>1278</v>
      </c>
    </row>
    <row r="8" spans="1:2" x14ac:dyDescent="0.3">
      <c r="A8" s="2" t="s">
        <v>238</v>
      </c>
      <c r="B8" s="2" t="s">
        <v>1278</v>
      </c>
    </row>
    <row r="9" spans="1:2" x14ac:dyDescent="0.3">
      <c r="A9" s="2" t="s">
        <v>240</v>
      </c>
      <c r="B9" s="2" t="s">
        <v>1278</v>
      </c>
    </row>
    <row r="10" spans="1:2" x14ac:dyDescent="0.3">
      <c r="A10" s="2" t="s">
        <v>242</v>
      </c>
      <c r="B10" s="2" t="s">
        <v>1278</v>
      </c>
    </row>
    <row r="11" spans="1:2" x14ac:dyDescent="0.3">
      <c r="A11" s="2" t="s">
        <v>243</v>
      </c>
      <c r="B11" s="2" t="s">
        <v>1278</v>
      </c>
    </row>
    <row r="12" spans="1:2" x14ac:dyDescent="0.3">
      <c r="A12" s="2" t="s">
        <v>244</v>
      </c>
      <c r="B12" s="2" t="s">
        <v>1278</v>
      </c>
    </row>
    <row r="13" spans="1:2" x14ac:dyDescent="0.3">
      <c r="A13" s="2" t="s">
        <v>246</v>
      </c>
      <c r="B13" s="2" t="s">
        <v>1278</v>
      </c>
    </row>
    <row r="14" spans="1:2" x14ac:dyDescent="0.3">
      <c r="A14" s="2" t="s">
        <v>248</v>
      </c>
      <c r="B14" s="2" t="s">
        <v>1278</v>
      </c>
    </row>
    <row r="15" spans="1:2" x14ac:dyDescent="0.3">
      <c r="A15" s="2" t="s">
        <v>249</v>
      </c>
      <c r="B15" s="2" t="s">
        <v>1278</v>
      </c>
    </row>
    <row r="16" spans="1:2" x14ac:dyDescent="0.3">
      <c r="A16" s="2" t="s">
        <v>250</v>
      </c>
      <c r="B16" s="2" t="s">
        <v>1278</v>
      </c>
    </row>
    <row r="17" spans="1:2" x14ac:dyDescent="0.3">
      <c r="A17" s="2" t="s">
        <v>251</v>
      </c>
      <c r="B17" s="2" t="s">
        <v>1278</v>
      </c>
    </row>
    <row r="18" spans="1:2" x14ac:dyDescent="0.3">
      <c r="A18" s="2" t="s">
        <v>252</v>
      </c>
      <c r="B18" s="2" t="s">
        <v>1278</v>
      </c>
    </row>
    <row r="19" spans="1:2" x14ac:dyDescent="0.3">
      <c r="A19" s="2" t="s">
        <v>254</v>
      </c>
      <c r="B19" s="2" t="s">
        <v>1278</v>
      </c>
    </row>
    <row r="20" spans="1:2" x14ac:dyDescent="0.3">
      <c r="A20" s="2" t="s">
        <v>256</v>
      </c>
      <c r="B20" s="2" t="s">
        <v>1278</v>
      </c>
    </row>
    <row r="21" spans="1:2" x14ac:dyDescent="0.3">
      <c r="A21" s="2" t="s">
        <v>258</v>
      </c>
      <c r="B21" s="2" t="s">
        <v>1278</v>
      </c>
    </row>
    <row r="22" spans="1:2" x14ac:dyDescent="0.3">
      <c r="A22" s="2" t="s">
        <v>259</v>
      </c>
      <c r="B22" s="2" t="s">
        <v>1278</v>
      </c>
    </row>
    <row r="23" spans="1:2" x14ac:dyDescent="0.3">
      <c r="A23" s="2" t="s">
        <v>261</v>
      </c>
      <c r="B23" s="2" t="s">
        <v>1279</v>
      </c>
    </row>
    <row r="24" spans="1:2" x14ac:dyDescent="0.3">
      <c r="A24" s="2" t="s">
        <v>262</v>
      </c>
      <c r="B24" s="2" t="s">
        <v>1278</v>
      </c>
    </row>
    <row r="25" spans="1:2" x14ac:dyDescent="0.3">
      <c r="A25" s="2" t="s">
        <v>264</v>
      </c>
      <c r="B25" s="2" t="s">
        <v>1278</v>
      </c>
    </row>
    <row r="26" spans="1:2" x14ac:dyDescent="0.3">
      <c r="A26" s="2" t="s">
        <v>265</v>
      </c>
      <c r="B26" s="2" t="s">
        <v>1278</v>
      </c>
    </row>
    <row r="27" spans="1:2" x14ac:dyDescent="0.3">
      <c r="A27" s="2" t="s">
        <v>267</v>
      </c>
      <c r="B27" s="2" t="s">
        <v>1279</v>
      </c>
    </row>
    <row r="28" spans="1:2" x14ac:dyDescent="0.3">
      <c r="A28" s="2" t="s">
        <v>268</v>
      </c>
      <c r="B28" s="2" t="s">
        <v>1278</v>
      </c>
    </row>
    <row r="29" spans="1:2" x14ac:dyDescent="0.3">
      <c r="A29" s="2" t="s">
        <v>269</v>
      </c>
      <c r="B29" s="2" t="s">
        <v>1278</v>
      </c>
    </row>
    <row r="30" spans="1:2" x14ac:dyDescent="0.3">
      <c r="A30" s="2" t="s">
        <v>270</v>
      </c>
      <c r="B30" s="2" t="s">
        <v>1278</v>
      </c>
    </row>
    <row r="31" spans="1:2" x14ac:dyDescent="0.3">
      <c r="A31" s="2" t="s">
        <v>271</v>
      </c>
      <c r="B31" s="2" t="s">
        <v>1278</v>
      </c>
    </row>
    <row r="32" spans="1:2" x14ac:dyDescent="0.3">
      <c r="A32" s="2" t="s">
        <v>272</v>
      </c>
      <c r="B32" s="2" t="s">
        <v>1278</v>
      </c>
    </row>
    <row r="33" spans="1:2" x14ac:dyDescent="0.3">
      <c r="A33" s="2" t="s">
        <v>273</v>
      </c>
      <c r="B33" s="2" t="s">
        <v>1279</v>
      </c>
    </row>
    <row r="34" spans="1:2" x14ac:dyDescent="0.3">
      <c r="A34" s="2" t="s">
        <v>274</v>
      </c>
      <c r="B34" s="2" t="s">
        <v>1278</v>
      </c>
    </row>
    <row r="35" spans="1:2" x14ac:dyDescent="0.3">
      <c r="A35" s="2" t="s">
        <v>275</v>
      </c>
      <c r="B35" s="2" t="s">
        <v>1278</v>
      </c>
    </row>
    <row r="36" spans="1:2" x14ac:dyDescent="0.3">
      <c r="A36" s="2" t="s">
        <v>276</v>
      </c>
      <c r="B36" s="2" t="s">
        <v>1278</v>
      </c>
    </row>
    <row r="37" spans="1:2" x14ac:dyDescent="0.3">
      <c r="A37" s="2" t="s">
        <v>277</v>
      </c>
      <c r="B37" s="2" t="s">
        <v>1278</v>
      </c>
    </row>
    <row r="38" spans="1:2" x14ac:dyDescent="0.3">
      <c r="A38" s="2" t="s">
        <v>278</v>
      </c>
      <c r="B38" s="2" t="s">
        <v>1278</v>
      </c>
    </row>
    <row r="39" spans="1:2" x14ac:dyDescent="0.3">
      <c r="A39" s="2" t="s">
        <v>280</v>
      </c>
      <c r="B39" s="2" t="s">
        <v>1278</v>
      </c>
    </row>
    <row r="40" spans="1:2" x14ac:dyDescent="0.3">
      <c r="A40" s="2" t="s">
        <v>281</v>
      </c>
      <c r="B40" s="2" t="s">
        <v>1278</v>
      </c>
    </row>
    <row r="41" spans="1:2" x14ac:dyDescent="0.3">
      <c r="A41" s="2" t="s">
        <v>282</v>
      </c>
      <c r="B41" s="2" t="s">
        <v>1278</v>
      </c>
    </row>
    <row r="42" spans="1:2" x14ac:dyDescent="0.3">
      <c r="A42" s="2" t="s">
        <v>284</v>
      </c>
      <c r="B42" s="2" t="s">
        <v>1278</v>
      </c>
    </row>
    <row r="43" spans="1:2" x14ac:dyDescent="0.3">
      <c r="A43" s="2" t="s">
        <v>285</v>
      </c>
      <c r="B43" s="2" t="s">
        <v>1279</v>
      </c>
    </row>
    <row r="44" spans="1:2" x14ac:dyDescent="0.3">
      <c r="A44" s="2" t="s">
        <v>286</v>
      </c>
      <c r="B44" s="2" t="s">
        <v>1278</v>
      </c>
    </row>
    <row r="45" spans="1:2" x14ac:dyDescent="0.3">
      <c r="A45" s="2" t="s">
        <v>287</v>
      </c>
      <c r="B45" s="2" t="s">
        <v>1278</v>
      </c>
    </row>
    <row r="46" spans="1:2" x14ac:dyDescent="0.3">
      <c r="A46" s="2" t="s">
        <v>288</v>
      </c>
      <c r="B46" s="2" t="s">
        <v>1278</v>
      </c>
    </row>
    <row r="47" spans="1:2" x14ac:dyDescent="0.3">
      <c r="A47" s="2" t="s">
        <v>289</v>
      </c>
      <c r="B47" s="2" t="s">
        <v>1278</v>
      </c>
    </row>
    <row r="48" spans="1:2" x14ac:dyDescent="0.3">
      <c r="A48" s="2" t="s">
        <v>290</v>
      </c>
      <c r="B48" s="2" t="s">
        <v>1279</v>
      </c>
    </row>
    <row r="49" spans="1:2" x14ac:dyDescent="0.3">
      <c r="A49" s="2" t="s">
        <v>291</v>
      </c>
      <c r="B49" s="2" t="s">
        <v>1279</v>
      </c>
    </row>
    <row r="50" spans="1:2" x14ac:dyDescent="0.3">
      <c r="A50" s="2" t="s">
        <v>292</v>
      </c>
      <c r="B50" s="2" t="s">
        <v>1279</v>
      </c>
    </row>
    <row r="51" spans="1:2" x14ac:dyDescent="0.3">
      <c r="A51" s="2" t="s">
        <v>293</v>
      </c>
      <c r="B51" s="2" t="s">
        <v>1278</v>
      </c>
    </row>
    <row r="52" spans="1:2" x14ac:dyDescent="0.3">
      <c r="A52" s="2" t="s">
        <v>294</v>
      </c>
      <c r="B52" s="2" t="s">
        <v>1278</v>
      </c>
    </row>
    <row r="53" spans="1:2" x14ac:dyDescent="0.3">
      <c r="A53" s="2" t="s">
        <v>295</v>
      </c>
      <c r="B53" s="2" t="s">
        <v>1278</v>
      </c>
    </row>
    <row r="54" spans="1:2" x14ac:dyDescent="0.3">
      <c r="A54" s="2" t="s">
        <v>296</v>
      </c>
      <c r="B54" s="2" t="s">
        <v>1278</v>
      </c>
    </row>
    <row r="55" spans="1:2" x14ac:dyDescent="0.3">
      <c r="A55" s="2" t="s">
        <v>297</v>
      </c>
      <c r="B55" s="2" t="s">
        <v>1278</v>
      </c>
    </row>
    <row r="56" spans="1:2" x14ac:dyDescent="0.3">
      <c r="A56" s="2" t="s">
        <v>298</v>
      </c>
      <c r="B56" s="2" t="s">
        <v>1278</v>
      </c>
    </row>
    <row r="57" spans="1:2" x14ac:dyDescent="0.3">
      <c r="A57" s="2" t="s">
        <v>299</v>
      </c>
      <c r="B57" s="2" t="s">
        <v>1278</v>
      </c>
    </row>
    <row r="58" spans="1:2" x14ac:dyDescent="0.3">
      <c r="A58" s="2" t="s">
        <v>300</v>
      </c>
      <c r="B58" s="2" t="s">
        <v>1278</v>
      </c>
    </row>
    <row r="59" spans="1:2" x14ac:dyDescent="0.3">
      <c r="A59" s="2" t="s">
        <v>301</v>
      </c>
      <c r="B59" s="2" t="s">
        <v>1278</v>
      </c>
    </row>
    <row r="60" spans="1:2" x14ac:dyDescent="0.3">
      <c r="A60" s="2" t="s">
        <v>302</v>
      </c>
      <c r="B60" s="2" t="s">
        <v>1279</v>
      </c>
    </row>
    <row r="61" spans="1:2" x14ac:dyDescent="0.3">
      <c r="A61" s="2" t="s">
        <v>303</v>
      </c>
      <c r="B61" s="2" t="s">
        <v>1278</v>
      </c>
    </row>
    <row r="62" spans="1:2" x14ac:dyDescent="0.3">
      <c r="A62" s="2" t="s">
        <v>304</v>
      </c>
      <c r="B62" s="2" t="s">
        <v>1278</v>
      </c>
    </row>
    <row r="63" spans="1:2" x14ac:dyDescent="0.3">
      <c r="A63" s="2" t="s">
        <v>305</v>
      </c>
      <c r="B63" s="2" t="s">
        <v>1278</v>
      </c>
    </row>
    <row r="64" spans="1:2" x14ac:dyDescent="0.3">
      <c r="A64" s="2" t="s">
        <v>306</v>
      </c>
      <c r="B64" s="2" t="s">
        <v>1278</v>
      </c>
    </row>
    <row r="65" spans="1:2" x14ac:dyDescent="0.3">
      <c r="A65" s="2" t="s">
        <v>307</v>
      </c>
      <c r="B65" s="2" t="s">
        <v>1279</v>
      </c>
    </row>
    <row r="66" spans="1:2" x14ac:dyDescent="0.3">
      <c r="A66" s="2" t="s">
        <v>308</v>
      </c>
      <c r="B66" s="2" t="s">
        <v>1278</v>
      </c>
    </row>
    <row r="67" spans="1:2" x14ac:dyDescent="0.3">
      <c r="A67" s="2" t="s">
        <v>309</v>
      </c>
      <c r="B67" s="2" t="s">
        <v>1278</v>
      </c>
    </row>
    <row r="68" spans="1:2" x14ac:dyDescent="0.3">
      <c r="A68" s="2" t="s">
        <v>310</v>
      </c>
      <c r="B68" s="2" t="s">
        <v>1278</v>
      </c>
    </row>
    <row r="69" spans="1:2" x14ac:dyDescent="0.3">
      <c r="A69" s="2" t="s">
        <v>311</v>
      </c>
      <c r="B69" s="2" t="s">
        <v>1278</v>
      </c>
    </row>
    <row r="70" spans="1:2" x14ac:dyDescent="0.3">
      <c r="A70" s="2" t="s">
        <v>312</v>
      </c>
      <c r="B70" s="2" t="s">
        <v>1279</v>
      </c>
    </row>
    <row r="71" spans="1:2" x14ac:dyDescent="0.3">
      <c r="A71" s="2" t="s">
        <v>313</v>
      </c>
      <c r="B71" s="2" t="s">
        <v>1278</v>
      </c>
    </row>
    <row r="72" spans="1:2" x14ac:dyDescent="0.3">
      <c r="A72" s="2" t="s">
        <v>314</v>
      </c>
      <c r="B72" s="2" t="s">
        <v>1278</v>
      </c>
    </row>
    <row r="73" spans="1:2" x14ac:dyDescent="0.3">
      <c r="A73" s="2" t="s">
        <v>315</v>
      </c>
      <c r="B73" s="2" t="s">
        <v>1278</v>
      </c>
    </row>
    <row r="74" spans="1:2" x14ac:dyDescent="0.3">
      <c r="A74" s="2" t="s">
        <v>317</v>
      </c>
      <c r="B74" s="2" t="s">
        <v>1279</v>
      </c>
    </row>
    <row r="75" spans="1:2" x14ac:dyDescent="0.3">
      <c r="A75" s="2" t="s">
        <v>318</v>
      </c>
      <c r="B75" s="2" t="s">
        <v>1279</v>
      </c>
    </row>
    <row r="76" spans="1:2" x14ac:dyDescent="0.3">
      <c r="A76" s="2" t="s">
        <v>319</v>
      </c>
      <c r="B76" s="2" t="s">
        <v>1278</v>
      </c>
    </row>
    <row r="77" spans="1:2" x14ac:dyDescent="0.3">
      <c r="A77" s="2" t="s">
        <v>320</v>
      </c>
      <c r="B77" s="2" t="s">
        <v>1278</v>
      </c>
    </row>
    <row r="78" spans="1:2" x14ac:dyDescent="0.3">
      <c r="A78" s="2" t="s">
        <v>321</v>
      </c>
      <c r="B78" s="2" t="s">
        <v>1278</v>
      </c>
    </row>
    <row r="79" spans="1:2" x14ac:dyDescent="0.3">
      <c r="A79" s="2" t="s">
        <v>322</v>
      </c>
      <c r="B79" s="2" t="s">
        <v>1279</v>
      </c>
    </row>
    <row r="80" spans="1:2" x14ac:dyDescent="0.3">
      <c r="A80" s="2" t="s">
        <v>323</v>
      </c>
      <c r="B80" s="2" t="s">
        <v>1278</v>
      </c>
    </row>
    <row r="81" spans="1:2" x14ac:dyDescent="0.3">
      <c r="A81" s="2" t="s">
        <v>324</v>
      </c>
      <c r="B81" s="2" t="s">
        <v>1278</v>
      </c>
    </row>
    <row r="82" spans="1:2" x14ac:dyDescent="0.3">
      <c r="A82" s="2" t="s">
        <v>325</v>
      </c>
      <c r="B82" s="2" t="s">
        <v>1278</v>
      </c>
    </row>
    <row r="83" spans="1:2" x14ac:dyDescent="0.3">
      <c r="A83" s="2" t="s">
        <v>326</v>
      </c>
      <c r="B83" s="2" t="s">
        <v>1279</v>
      </c>
    </row>
    <row r="84" spans="1:2" x14ac:dyDescent="0.3">
      <c r="A84" s="2" t="s">
        <v>327</v>
      </c>
      <c r="B84" s="2" t="s">
        <v>1279</v>
      </c>
    </row>
    <row r="85" spans="1:2" x14ac:dyDescent="0.3">
      <c r="A85" s="2" t="s">
        <v>328</v>
      </c>
      <c r="B85" s="2" t="s">
        <v>1278</v>
      </c>
    </row>
    <row r="86" spans="1:2" x14ac:dyDescent="0.3">
      <c r="A86" s="2" t="s">
        <v>329</v>
      </c>
      <c r="B86" s="2" t="s">
        <v>1278</v>
      </c>
    </row>
    <row r="87" spans="1:2" x14ac:dyDescent="0.3">
      <c r="A87" s="2" t="s">
        <v>330</v>
      </c>
      <c r="B87" s="2" t="s">
        <v>1278</v>
      </c>
    </row>
    <row r="88" spans="1:2" x14ac:dyDescent="0.3">
      <c r="A88" s="2" t="s">
        <v>331</v>
      </c>
      <c r="B88" s="2" t="s">
        <v>1278</v>
      </c>
    </row>
    <row r="89" spans="1:2" x14ac:dyDescent="0.3">
      <c r="A89" s="2" t="s">
        <v>332</v>
      </c>
      <c r="B89" s="2" t="s">
        <v>1278</v>
      </c>
    </row>
    <row r="90" spans="1:2" x14ac:dyDescent="0.3">
      <c r="A90" s="2" t="s">
        <v>333</v>
      </c>
      <c r="B90" s="2" t="s">
        <v>1278</v>
      </c>
    </row>
    <row r="91" spans="1:2" x14ac:dyDescent="0.3">
      <c r="A91" s="2" t="s">
        <v>334</v>
      </c>
      <c r="B91" s="2" t="s">
        <v>1278</v>
      </c>
    </row>
    <row r="92" spans="1:2" x14ac:dyDescent="0.3">
      <c r="A92" s="2" t="s">
        <v>335</v>
      </c>
      <c r="B92" s="2" t="s">
        <v>1278</v>
      </c>
    </row>
    <row r="93" spans="1:2" x14ac:dyDescent="0.3">
      <c r="A93" s="2" t="s">
        <v>336</v>
      </c>
      <c r="B93" s="2" t="s">
        <v>1278</v>
      </c>
    </row>
    <row r="94" spans="1:2" x14ac:dyDescent="0.3">
      <c r="A94" s="2" t="s">
        <v>337</v>
      </c>
      <c r="B94" s="2" t="s">
        <v>1278</v>
      </c>
    </row>
    <row r="95" spans="1:2" x14ac:dyDescent="0.3">
      <c r="A95" s="2" t="s">
        <v>338</v>
      </c>
      <c r="B95" s="2" t="s">
        <v>1278</v>
      </c>
    </row>
    <row r="96" spans="1:2" x14ac:dyDescent="0.3">
      <c r="A96" s="2" t="s">
        <v>339</v>
      </c>
      <c r="B96" s="2" t="s">
        <v>1278</v>
      </c>
    </row>
    <row r="97" spans="1:2" x14ac:dyDescent="0.3">
      <c r="A97" s="2" t="s">
        <v>340</v>
      </c>
      <c r="B97" s="2" t="s">
        <v>1278</v>
      </c>
    </row>
    <row r="98" spans="1:2" x14ac:dyDescent="0.3">
      <c r="A98" s="2" t="s">
        <v>341</v>
      </c>
      <c r="B98" s="2" t="s">
        <v>1278</v>
      </c>
    </row>
    <row r="99" spans="1:2" x14ac:dyDescent="0.3">
      <c r="A99" s="2" t="s">
        <v>342</v>
      </c>
      <c r="B99" s="2" t="s">
        <v>1279</v>
      </c>
    </row>
    <row r="100" spans="1:2" x14ac:dyDescent="0.3">
      <c r="A100" s="2" t="s">
        <v>343</v>
      </c>
      <c r="B100" s="2" t="s">
        <v>1278</v>
      </c>
    </row>
    <row r="101" spans="1:2" x14ac:dyDescent="0.3">
      <c r="A101" s="2" t="s">
        <v>345</v>
      </c>
      <c r="B101" s="2" t="s">
        <v>1278</v>
      </c>
    </row>
    <row r="102" spans="1:2" x14ac:dyDescent="0.3">
      <c r="A102" s="2" t="s">
        <v>346</v>
      </c>
      <c r="B102" s="2" t="s">
        <v>1279</v>
      </c>
    </row>
    <row r="103" spans="1:2" x14ac:dyDescent="0.3">
      <c r="A103" s="2" t="s">
        <v>347</v>
      </c>
      <c r="B103" s="2" t="s">
        <v>1279</v>
      </c>
    </row>
    <row r="104" spans="1:2" x14ac:dyDescent="0.3">
      <c r="A104" s="2" t="s">
        <v>348</v>
      </c>
      <c r="B104" s="2" t="s">
        <v>1278</v>
      </c>
    </row>
    <row r="105" spans="1:2" x14ac:dyDescent="0.3">
      <c r="A105" s="2" t="s">
        <v>349</v>
      </c>
      <c r="B105" s="2" t="s">
        <v>1278</v>
      </c>
    </row>
    <row r="106" spans="1:2" x14ac:dyDescent="0.3">
      <c r="A106" s="2" t="s">
        <v>350</v>
      </c>
      <c r="B106" s="2" t="s">
        <v>1278</v>
      </c>
    </row>
    <row r="107" spans="1:2" x14ac:dyDescent="0.3">
      <c r="A107" s="2" t="s">
        <v>351</v>
      </c>
      <c r="B107" s="2" t="s">
        <v>1278</v>
      </c>
    </row>
    <row r="108" spans="1:2" x14ac:dyDescent="0.3">
      <c r="A108" s="2" t="s">
        <v>352</v>
      </c>
      <c r="B108" s="2" t="s">
        <v>1278</v>
      </c>
    </row>
    <row r="109" spans="1:2" x14ac:dyDescent="0.3">
      <c r="A109" s="2" t="s">
        <v>353</v>
      </c>
      <c r="B109" s="2" t="s">
        <v>1279</v>
      </c>
    </row>
    <row r="110" spans="1:2" x14ac:dyDescent="0.3">
      <c r="A110" s="2" t="s">
        <v>354</v>
      </c>
      <c r="B110" s="2" t="s">
        <v>1278</v>
      </c>
    </row>
    <row r="111" spans="1:2" x14ac:dyDescent="0.3">
      <c r="A111" s="2" t="s">
        <v>355</v>
      </c>
      <c r="B111" s="2" t="s">
        <v>1278</v>
      </c>
    </row>
    <row r="112" spans="1:2" x14ac:dyDescent="0.3">
      <c r="A112" s="2" t="s">
        <v>356</v>
      </c>
      <c r="B112" s="2" t="s">
        <v>1278</v>
      </c>
    </row>
    <row r="113" spans="1:2" x14ac:dyDescent="0.3">
      <c r="A113" s="2" t="s">
        <v>357</v>
      </c>
      <c r="B113" s="2" t="s">
        <v>1278</v>
      </c>
    </row>
    <row r="114" spans="1:2" x14ac:dyDescent="0.3">
      <c r="A114" s="2" t="s">
        <v>358</v>
      </c>
      <c r="B114" s="2" t="s">
        <v>1279</v>
      </c>
    </row>
    <row r="115" spans="1:2" x14ac:dyDescent="0.3">
      <c r="A115" s="2" t="s">
        <v>359</v>
      </c>
      <c r="B115" s="2" t="s">
        <v>1278</v>
      </c>
    </row>
    <row r="116" spans="1:2" x14ac:dyDescent="0.3">
      <c r="A116" s="2" t="s">
        <v>360</v>
      </c>
      <c r="B116" s="2" t="s">
        <v>1278</v>
      </c>
    </row>
    <row r="117" spans="1:2" x14ac:dyDescent="0.3">
      <c r="A117" s="2" t="s">
        <v>361</v>
      </c>
      <c r="B117" s="2" t="s">
        <v>1278</v>
      </c>
    </row>
    <row r="118" spans="1:2" x14ac:dyDescent="0.3">
      <c r="A118" s="2" t="s">
        <v>362</v>
      </c>
      <c r="B118" s="2" t="s">
        <v>1279</v>
      </c>
    </row>
    <row r="119" spans="1:2" x14ac:dyDescent="0.3">
      <c r="A119" s="2" t="s">
        <v>363</v>
      </c>
      <c r="B119" s="2" t="s">
        <v>1278</v>
      </c>
    </row>
    <row r="120" spans="1:2" x14ac:dyDescent="0.3">
      <c r="A120" s="2" t="s">
        <v>364</v>
      </c>
      <c r="B120" s="2" t="s">
        <v>1278</v>
      </c>
    </row>
    <row r="121" spans="1:2" x14ac:dyDescent="0.3">
      <c r="A121" s="2" t="s">
        <v>365</v>
      </c>
      <c r="B121" s="2" t="s">
        <v>1278</v>
      </c>
    </row>
    <row r="122" spans="1:2" x14ac:dyDescent="0.3">
      <c r="A122" s="2" t="s">
        <v>366</v>
      </c>
      <c r="B122" s="2" t="s">
        <v>1279</v>
      </c>
    </row>
    <row r="123" spans="1:2" x14ac:dyDescent="0.3">
      <c r="A123" s="2" t="s">
        <v>367</v>
      </c>
      <c r="B123" s="2" t="s">
        <v>1279</v>
      </c>
    </row>
    <row r="124" spans="1:2" x14ac:dyDescent="0.3">
      <c r="A124" s="2" t="s">
        <v>368</v>
      </c>
      <c r="B124" s="2" t="s">
        <v>1278</v>
      </c>
    </row>
    <row r="125" spans="1:2" x14ac:dyDescent="0.3">
      <c r="A125" s="2" t="s">
        <v>369</v>
      </c>
      <c r="B125" s="2" t="s">
        <v>1278</v>
      </c>
    </row>
    <row r="126" spans="1:2" x14ac:dyDescent="0.3">
      <c r="A126" s="2" t="s">
        <v>370</v>
      </c>
      <c r="B126" s="2" t="s">
        <v>1278</v>
      </c>
    </row>
    <row r="127" spans="1:2" x14ac:dyDescent="0.3">
      <c r="A127" s="2" t="s">
        <v>371</v>
      </c>
      <c r="B127" s="2" t="s">
        <v>1278</v>
      </c>
    </row>
    <row r="128" spans="1:2" x14ac:dyDescent="0.3">
      <c r="A128" s="2" t="s">
        <v>372</v>
      </c>
      <c r="B128" s="2" t="s">
        <v>1278</v>
      </c>
    </row>
    <row r="129" spans="1:2" x14ac:dyDescent="0.3">
      <c r="A129" s="2" t="s">
        <v>373</v>
      </c>
      <c r="B129" s="2" t="s">
        <v>1279</v>
      </c>
    </row>
    <row r="130" spans="1:2" x14ac:dyDescent="0.3">
      <c r="A130" s="2" t="s">
        <v>374</v>
      </c>
      <c r="B130" s="2" t="s">
        <v>1278</v>
      </c>
    </row>
    <row r="131" spans="1:2" x14ac:dyDescent="0.3">
      <c r="A131" s="2" t="s">
        <v>375</v>
      </c>
      <c r="B131" s="2" t="s">
        <v>1278</v>
      </c>
    </row>
    <row r="132" spans="1:2" x14ac:dyDescent="0.3">
      <c r="A132" s="2" t="s">
        <v>376</v>
      </c>
      <c r="B132" s="2" t="s">
        <v>1278</v>
      </c>
    </row>
    <row r="133" spans="1:2" x14ac:dyDescent="0.3">
      <c r="A133" s="2" t="s">
        <v>377</v>
      </c>
      <c r="B133" s="2" t="s">
        <v>1279</v>
      </c>
    </row>
    <row r="134" spans="1:2" x14ac:dyDescent="0.3">
      <c r="A134" s="2" t="s">
        <v>378</v>
      </c>
      <c r="B134" s="2" t="s">
        <v>1278</v>
      </c>
    </row>
    <row r="135" spans="1:2" x14ac:dyDescent="0.3">
      <c r="A135" s="2" t="s">
        <v>379</v>
      </c>
      <c r="B135" s="2" t="s">
        <v>1279</v>
      </c>
    </row>
    <row r="136" spans="1:2" x14ac:dyDescent="0.3">
      <c r="A136" s="2" t="s">
        <v>380</v>
      </c>
      <c r="B136" s="2" t="s">
        <v>1278</v>
      </c>
    </row>
    <row r="137" spans="1:2" x14ac:dyDescent="0.3">
      <c r="A137" s="2" t="s">
        <v>381</v>
      </c>
      <c r="B137" s="2" t="s">
        <v>1278</v>
      </c>
    </row>
    <row r="138" spans="1:2" x14ac:dyDescent="0.3">
      <c r="A138" s="2" t="s">
        <v>382</v>
      </c>
      <c r="B138" s="2" t="s">
        <v>1278</v>
      </c>
    </row>
    <row r="139" spans="1:2" x14ac:dyDescent="0.3">
      <c r="A139" s="2" t="s">
        <v>383</v>
      </c>
      <c r="B139" s="2" t="s">
        <v>1278</v>
      </c>
    </row>
    <row r="140" spans="1:2" x14ac:dyDescent="0.3">
      <c r="A140" s="2" t="s">
        <v>384</v>
      </c>
      <c r="B140" s="2" t="s">
        <v>1278</v>
      </c>
    </row>
    <row r="141" spans="1:2" x14ac:dyDescent="0.3">
      <c r="A141" s="2" t="s">
        <v>385</v>
      </c>
      <c r="B141" s="2" t="s">
        <v>1278</v>
      </c>
    </row>
    <row r="142" spans="1:2" x14ac:dyDescent="0.3">
      <c r="A142" s="2" t="s">
        <v>386</v>
      </c>
      <c r="B142" s="2" t="s">
        <v>1278</v>
      </c>
    </row>
    <row r="143" spans="1:2" x14ac:dyDescent="0.3">
      <c r="A143" s="2" t="s">
        <v>387</v>
      </c>
      <c r="B143" s="2" t="s">
        <v>1278</v>
      </c>
    </row>
    <row r="144" spans="1:2" x14ac:dyDescent="0.3">
      <c r="A144" s="2" t="s">
        <v>388</v>
      </c>
      <c r="B144" s="2" t="s">
        <v>1278</v>
      </c>
    </row>
    <row r="145" spans="1:2" x14ac:dyDescent="0.3">
      <c r="A145" s="2" t="s">
        <v>389</v>
      </c>
      <c r="B145" s="2" t="s">
        <v>1278</v>
      </c>
    </row>
    <row r="146" spans="1:2" x14ac:dyDescent="0.3">
      <c r="A146" s="2" t="s">
        <v>390</v>
      </c>
      <c r="B146" s="2" t="s">
        <v>1278</v>
      </c>
    </row>
    <row r="147" spans="1:2" x14ac:dyDescent="0.3">
      <c r="A147" s="2" t="s">
        <v>391</v>
      </c>
      <c r="B147" s="2" t="s">
        <v>1278</v>
      </c>
    </row>
    <row r="148" spans="1:2" x14ac:dyDescent="0.3">
      <c r="A148" s="2" t="s">
        <v>392</v>
      </c>
      <c r="B148" s="2" t="s">
        <v>1278</v>
      </c>
    </row>
    <row r="149" spans="1:2" x14ac:dyDescent="0.3">
      <c r="A149" s="2" t="s">
        <v>393</v>
      </c>
      <c r="B149" s="2" t="s">
        <v>1278</v>
      </c>
    </row>
    <row r="150" spans="1:2" x14ac:dyDescent="0.3">
      <c r="A150" s="2" t="s">
        <v>394</v>
      </c>
      <c r="B150" s="2" t="s">
        <v>1278</v>
      </c>
    </row>
    <row r="151" spans="1:2" x14ac:dyDescent="0.3">
      <c r="A151" s="2" t="s">
        <v>395</v>
      </c>
      <c r="B151" s="2" t="s">
        <v>1278</v>
      </c>
    </row>
    <row r="152" spans="1:2" x14ac:dyDescent="0.3">
      <c r="A152" s="2" t="s">
        <v>396</v>
      </c>
      <c r="B152" s="2" t="s">
        <v>1278</v>
      </c>
    </row>
    <row r="153" spans="1:2" x14ac:dyDescent="0.3">
      <c r="A153" s="2" t="s">
        <v>397</v>
      </c>
      <c r="B153" s="2" t="s">
        <v>1278</v>
      </c>
    </row>
    <row r="154" spans="1:2" x14ac:dyDescent="0.3">
      <c r="A154" s="2" t="s">
        <v>398</v>
      </c>
      <c r="B154" s="2" t="s">
        <v>1279</v>
      </c>
    </row>
    <row r="155" spans="1:2" x14ac:dyDescent="0.3">
      <c r="A155" s="2" t="s">
        <v>399</v>
      </c>
      <c r="B155" s="2" t="s">
        <v>1278</v>
      </c>
    </row>
    <row r="156" spans="1:2" x14ac:dyDescent="0.3">
      <c r="A156" s="2" t="s">
        <v>400</v>
      </c>
      <c r="B156" s="2" t="s">
        <v>1279</v>
      </c>
    </row>
    <row r="157" spans="1:2" x14ac:dyDescent="0.3">
      <c r="A157" s="2" t="s">
        <v>401</v>
      </c>
      <c r="B157" s="2" t="s">
        <v>1278</v>
      </c>
    </row>
    <row r="158" spans="1:2" x14ac:dyDescent="0.3">
      <c r="A158" s="2" t="s">
        <v>402</v>
      </c>
      <c r="B158" s="2" t="s">
        <v>1278</v>
      </c>
    </row>
    <row r="159" spans="1:2" x14ac:dyDescent="0.3">
      <c r="A159" s="2" t="s">
        <v>403</v>
      </c>
      <c r="B159" s="2" t="s">
        <v>1278</v>
      </c>
    </row>
    <row r="160" spans="1:2" x14ac:dyDescent="0.3">
      <c r="A160" s="2" t="s">
        <v>404</v>
      </c>
      <c r="B160" s="2" t="s">
        <v>1279</v>
      </c>
    </row>
    <row r="161" spans="1:2" x14ac:dyDescent="0.3">
      <c r="A161" s="2" t="s">
        <v>405</v>
      </c>
      <c r="B161" s="2" t="s">
        <v>1278</v>
      </c>
    </row>
    <row r="162" spans="1:2" x14ac:dyDescent="0.3">
      <c r="A162" s="2" t="s">
        <v>406</v>
      </c>
      <c r="B162" s="2" t="s">
        <v>1279</v>
      </c>
    </row>
    <row r="163" spans="1:2" x14ac:dyDescent="0.3">
      <c r="A163" s="2" t="s">
        <v>407</v>
      </c>
      <c r="B163" s="2" t="s">
        <v>1278</v>
      </c>
    </row>
    <row r="164" spans="1:2" x14ac:dyDescent="0.3">
      <c r="A164" s="2" t="s">
        <v>408</v>
      </c>
      <c r="B164" s="2" t="s">
        <v>1278</v>
      </c>
    </row>
    <row r="165" spans="1:2" x14ac:dyDescent="0.3">
      <c r="A165" s="2" t="s">
        <v>409</v>
      </c>
      <c r="B165" s="2" t="s">
        <v>1279</v>
      </c>
    </row>
    <row r="166" spans="1:2" x14ac:dyDescent="0.3">
      <c r="A166" s="2" t="s">
        <v>410</v>
      </c>
      <c r="B166" s="2" t="s">
        <v>1278</v>
      </c>
    </row>
    <row r="167" spans="1:2" x14ac:dyDescent="0.3">
      <c r="A167" s="2" t="s">
        <v>411</v>
      </c>
      <c r="B167" s="2" t="s">
        <v>1278</v>
      </c>
    </row>
    <row r="168" spans="1:2" x14ac:dyDescent="0.3">
      <c r="A168" s="2" t="s">
        <v>412</v>
      </c>
      <c r="B168" s="2" t="s">
        <v>1278</v>
      </c>
    </row>
    <row r="169" spans="1:2" x14ac:dyDescent="0.3">
      <c r="A169" s="2" t="s">
        <v>413</v>
      </c>
      <c r="B169" s="2" t="s">
        <v>1278</v>
      </c>
    </row>
    <row r="170" spans="1:2" x14ac:dyDescent="0.3">
      <c r="A170" s="2" t="s">
        <v>414</v>
      </c>
      <c r="B170" s="2" t="s">
        <v>1279</v>
      </c>
    </row>
    <row r="171" spans="1:2" x14ac:dyDescent="0.3">
      <c r="A171" s="2" t="s">
        <v>415</v>
      </c>
      <c r="B171" s="2" t="s">
        <v>1278</v>
      </c>
    </row>
    <row r="172" spans="1:2" x14ac:dyDescent="0.3">
      <c r="A172" s="2" t="s">
        <v>416</v>
      </c>
      <c r="B172" s="2" t="s">
        <v>1278</v>
      </c>
    </row>
    <row r="173" spans="1:2" x14ac:dyDescent="0.3">
      <c r="A173" s="2" t="s">
        <v>417</v>
      </c>
      <c r="B173" s="2" t="s">
        <v>1278</v>
      </c>
    </row>
    <row r="174" spans="1:2" x14ac:dyDescent="0.3">
      <c r="A174" s="2" t="s">
        <v>418</v>
      </c>
      <c r="B174" s="2" t="s">
        <v>1278</v>
      </c>
    </row>
    <row r="175" spans="1:2" x14ac:dyDescent="0.3">
      <c r="A175" s="2" t="s">
        <v>419</v>
      </c>
      <c r="B175" s="2" t="s">
        <v>1278</v>
      </c>
    </row>
    <row r="176" spans="1:2" x14ac:dyDescent="0.3">
      <c r="A176" s="2" t="s">
        <v>420</v>
      </c>
      <c r="B176" s="2" t="s">
        <v>1278</v>
      </c>
    </row>
    <row r="177" spans="1:2" x14ac:dyDescent="0.3">
      <c r="A177" s="2" t="s">
        <v>421</v>
      </c>
      <c r="B177" s="2" t="s">
        <v>1279</v>
      </c>
    </row>
    <row r="178" spans="1:2" x14ac:dyDescent="0.3">
      <c r="A178" s="2" t="s">
        <v>422</v>
      </c>
      <c r="B178" s="2" t="s">
        <v>1278</v>
      </c>
    </row>
    <row r="179" spans="1:2" x14ac:dyDescent="0.3">
      <c r="A179" s="2" t="s">
        <v>423</v>
      </c>
      <c r="B179" s="2" t="s">
        <v>1279</v>
      </c>
    </row>
    <row r="180" spans="1:2" x14ac:dyDescent="0.3">
      <c r="A180" s="2" t="s">
        <v>424</v>
      </c>
      <c r="B180" s="2" t="s">
        <v>1279</v>
      </c>
    </row>
    <row r="181" spans="1:2" x14ac:dyDescent="0.3">
      <c r="A181" s="2" t="s">
        <v>425</v>
      </c>
      <c r="B181" s="2" t="s">
        <v>1279</v>
      </c>
    </row>
    <row r="182" spans="1:2" x14ac:dyDescent="0.3">
      <c r="A182" s="2" t="s">
        <v>426</v>
      </c>
      <c r="B182" s="2" t="s">
        <v>1278</v>
      </c>
    </row>
    <row r="183" spans="1:2" x14ac:dyDescent="0.3">
      <c r="A183" s="2" t="s">
        <v>427</v>
      </c>
      <c r="B183" s="2" t="s">
        <v>1278</v>
      </c>
    </row>
    <row r="184" spans="1:2" x14ac:dyDescent="0.3">
      <c r="A184" s="2" t="s">
        <v>428</v>
      </c>
      <c r="B184" s="2" t="s">
        <v>1278</v>
      </c>
    </row>
    <row r="185" spans="1:2" x14ac:dyDescent="0.3">
      <c r="A185" s="2" t="s">
        <v>429</v>
      </c>
      <c r="B185" s="2" t="s">
        <v>1279</v>
      </c>
    </row>
    <row r="186" spans="1:2" x14ac:dyDescent="0.3">
      <c r="A186" s="2" t="s">
        <v>430</v>
      </c>
      <c r="B186" s="2" t="s">
        <v>1278</v>
      </c>
    </row>
    <row r="187" spans="1:2" x14ac:dyDescent="0.3">
      <c r="A187" s="2" t="s">
        <v>431</v>
      </c>
      <c r="B187" s="2" t="s">
        <v>1278</v>
      </c>
    </row>
    <row r="188" spans="1:2" x14ac:dyDescent="0.3">
      <c r="A188" s="2" t="s">
        <v>432</v>
      </c>
      <c r="B188" s="2" t="s">
        <v>1278</v>
      </c>
    </row>
    <row r="189" spans="1:2" x14ac:dyDescent="0.3">
      <c r="A189" s="2" t="s">
        <v>433</v>
      </c>
      <c r="B189" s="2" t="s">
        <v>1278</v>
      </c>
    </row>
    <row r="190" spans="1:2" x14ac:dyDescent="0.3">
      <c r="A190" s="2" t="s">
        <v>434</v>
      </c>
      <c r="B190" s="2" t="s">
        <v>1278</v>
      </c>
    </row>
    <row r="191" spans="1:2" x14ac:dyDescent="0.3">
      <c r="A191" s="2" t="s">
        <v>435</v>
      </c>
      <c r="B191" s="2" t="s">
        <v>1278</v>
      </c>
    </row>
    <row r="192" spans="1:2" x14ac:dyDescent="0.3">
      <c r="A192" s="2" t="s">
        <v>436</v>
      </c>
      <c r="B192" s="2" t="s">
        <v>1279</v>
      </c>
    </row>
    <row r="193" spans="1:2" x14ac:dyDescent="0.3">
      <c r="A193" s="2" t="s">
        <v>437</v>
      </c>
      <c r="B193" s="2" t="s">
        <v>1278</v>
      </c>
    </row>
    <row r="194" spans="1:2" x14ac:dyDescent="0.3">
      <c r="A194" s="2" t="s">
        <v>438</v>
      </c>
      <c r="B194" s="2" t="s">
        <v>1278</v>
      </c>
    </row>
    <row r="195" spans="1:2" x14ac:dyDescent="0.3">
      <c r="A195" s="2" t="s">
        <v>439</v>
      </c>
      <c r="B195" s="2" t="s">
        <v>1278</v>
      </c>
    </row>
    <row r="196" spans="1:2" x14ac:dyDescent="0.3">
      <c r="A196" s="2" t="s">
        <v>440</v>
      </c>
      <c r="B196" s="2" t="s">
        <v>1278</v>
      </c>
    </row>
    <row r="197" spans="1:2" x14ac:dyDescent="0.3">
      <c r="A197" s="2" t="s">
        <v>441</v>
      </c>
      <c r="B197" s="2" t="s">
        <v>1278</v>
      </c>
    </row>
    <row r="198" spans="1:2" x14ac:dyDescent="0.3">
      <c r="A198" s="2" t="s">
        <v>442</v>
      </c>
      <c r="B198" s="2" t="s">
        <v>1278</v>
      </c>
    </row>
    <row r="199" spans="1:2" x14ac:dyDescent="0.3">
      <c r="A199" s="2" t="s">
        <v>443</v>
      </c>
      <c r="B199" s="2" t="s">
        <v>1278</v>
      </c>
    </row>
    <row r="200" spans="1:2" x14ac:dyDescent="0.3">
      <c r="A200" s="2" t="s">
        <v>444</v>
      </c>
      <c r="B200" s="2" t="s">
        <v>1278</v>
      </c>
    </row>
    <row r="201" spans="1:2" x14ac:dyDescent="0.3">
      <c r="A201" s="2" t="s">
        <v>445</v>
      </c>
      <c r="B201" s="2" t="s">
        <v>1279</v>
      </c>
    </row>
    <row r="202" spans="1:2" x14ac:dyDescent="0.3">
      <c r="A202" s="2" t="s">
        <v>446</v>
      </c>
      <c r="B202" s="2" t="s">
        <v>1278</v>
      </c>
    </row>
    <row r="203" spans="1:2" x14ac:dyDescent="0.3">
      <c r="A203" s="2" t="s">
        <v>447</v>
      </c>
      <c r="B203" s="2" t="s">
        <v>1278</v>
      </c>
    </row>
    <row r="204" spans="1:2" x14ac:dyDescent="0.3">
      <c r="A204" s="2" t="s">
        <v>448</v>
      </c>
      <c r="B204" s="2" t="s">
        <v>1278</v>
      </c>
    </row>
    <row r="205" spans="1:2" x14ac:dyDescent="0.3">
      <c r="A205" s="2" t="s">
        <v>449</v>
      </c>
      <c r="B205" s="2" t="s">
        <v>1278</v>
      </c>
    </row>
    <row r="206" spans="1:2" x14ac:dyDescent="0.3">
      <c r="A206" s="2" t="s">
        <v>450</v>
      </c>
      <c r="B206" s="2" t="s">
        <v>1278</v>
      </c>
    </row>
    <row r="207" spans="1:2" x14ac:dyDescent="0.3">
      <c r="A207" s="2" t="s">
        <v>451</v>
      </c>
      <c r="B207" s="2" t="s">
        <v>1279</v>
      </c>
    </row>
    <row r="208" spans="1:2" x14ac:dyDescent="0.3">
      <c r="A208" s="2" t="s">
        <v>452</v>
      </c>
      <c r="B208" s="2" t="s">
        <v>1278</v>
      </c>
    </row>
    <row r="209" spans="1:2" x14ac:dyDescent="0.3">
      <c r="A209" s="2" t="s">
        <v>453</v>
      </c>
      <c r="B209" s="2" t="s">
        <v>1278</v>
      </c>
    </row>
    <row r="210" spans="1:2" x14ac:dyDescent="0.3">
      <c r="A210" s="2" t="s">
        <v>454</v>
      </c>
      <c r="B210" s="2" t="s">
        <v>1278</v>
      </c>
    </row>
    <row r="211" spans="1:2" x14ac:dyDescent="0.3">
      <c r="A211" s="2" t="s">
        <v>455</v>
      </c>
      <c r="B211" s="2" t="s">
        <v>1278</v>
      </c>
    </row>
    <row r="212" spans="1:2" x14ac:dyDescent="0.3">
      <c r="A212" s="2" t="s">
        <v>456</v>
      </c>
      <c r="B212" s="2" t="s">
        <v>1278</v>
      </c>
    </row>
    <row r="213" spans="1:2" x14ac:dyDescent="0.3">
      <c r="A213" s="2" t="s">
        <v>457</v>
      </c>
      <c r="B213" s="2" t="s">
        <v>1278</v>
      </c>
    </row>
    <row r="214" spans="1:2" x14ac:dyDescent="0.3">
      <c r="A214" s="2" t="s">
        <v>458</v>
      </c>
      <c r="B214" s="2" t="s">
        <v>1278</v>
      </c>
    </row>
    <row r="215" spans="1:2" x14ac:dyDescent="0.3">
      <c r="A215" s="2" t="s">
        <v>459</v>
      </c>
      <c r="B215" s="2" t="s">
        <v>1278</v>
      </c>
    </row>
    <row r="216" spans="1:2" x14ac:dyDescent="0.3">
      <c r="A216" s="2" t="s">
        <v>460</v>
      </c>
      <c r="B216" s="2" t="s">
        <v>1278</v>
      </c>
    </row>
    <row r="217" spans="1:2" x14ac:dyDescent="0.3">
      <c r="A217" s="2" t="s">
        <v>461</v>
      </c>
      <c r="B217" s="2" t="s">
        <v>1279</v>
      </c>
    </row>
    <row r="218" spans="1:2" x14ac:dyDescent="0.3">
      <c r="A218" s="2" t="s">
        <v>462</v>
      </c>
      <c r="B218" s="2" t="s">
        <v>1278</v>
      </c>
    </row>
    <row r="219" spans="1:2" x14ac:dyDescent="0.3">
      <c r="A219" s="2" t="s">
        <v>463</v>
      </c>
      <c r="B219" s="2" t="s">
        <v>1278</v>
      </c>
    </row>
    <row r="220" spans="1:2" x14ac:dyDescent="0.3">
      <c r="A220" s="2" t="s">
        <v>464</v>
      </c>
      <c r="B220" s="2" t="s">
        <v>1278</v>
      </c>
    </row>
    <row r="221" spans="1:2" x14ac:dyDescent="0.3">
      <c r="A221" s="2" t="s">
        <v>465</v>
      </c>
      <c r="B221" s="2" t="s">
        <v>1278</v>
      </c>
    </row>
    <row r="222" spans="1:2" x14ac:dyDescent="0.3">
      <c r="A222" s="2" t="s">
        <v>466</v>
      </c>
      <c r="B222" s="2" t="s">
        <v>1278</v>
      </c>
    </row>
    <row r="223" spans="1:2" x14ac:dyDescent="0.3">
      <c r="A223" s="2" t="s">
        <v>467</v>
      </c>
      <c r="B223" s="2" t="s">
        <v>1278</v>
      </c>
    </row>
    <row r="224" spans="1:2" x14ac:dyDescent="0.3">
      <c r="A224" s="2" t="s">
        <v>468</v>
      </c>
      <c r="B224" s="2" t="s">
        <v>1279</v>
      </c>
    </row>
    <row r="225" spans="1:2" x14ac:dyDescent="0.3">
      <c r="A225" s="2" t="s">
        <v>469</v>
      </c>
      <c r="B225" s="2" t="s">
        <v>1279</v>
      </c>
    </row>
    <row r="226" spans="1:2" x14ac:dyDescent="0.3">
      <c r="A226" s="2" t="s">
        <v>470</v>
      </c>
      <c r="B226" s="2" t="s">
        <v>1278</v>
      </c>
    </row>
    <row r="227" spans="1:2" x14ac:dyDescent="0.3">
      <c r="A227" s="2" t="s">
        <v>471</v>
      </c>
      <c r="B227" s="2" t="s">
        <v>1278</v>
      </c>
    </row>
    <row r="228" spans="1:2" x14ac:dyDescent="0.3">
      <c r="A228" s="2" t="s">
        <v>472</v>
      </c>
      <c r="B228" s="2" t="s">
        <v>1278</v>
      </c>
    </row>
    <row r="229" spans="1:2" x14ac:dyDescent="0.3">
      <c r="A229" s="2" t="s">
        <v>473</v>
      </c>
      <c r="B229" s="2" t="s">
        <v>1279</v>
      </c>
    </row>
    <row r="230" spans="1:2" x14ac:dyDescent="0.3">
      <c r="A230" s="2" t="s">
        <v>474</v>
      </c>
      <c r="B230" s="2" t="s">
        <v>1279</v>
      </c>
    </row>
    <row r="231" spans="1:2" x14ac:dyDescent="0.3">
      <c r="A231" s="2" t="s">
        <v>475</v>
      </c>
      <c r="B231" s="2" t="s">
        <v>1278</v>
      </c>
    </row>
    <row r="232" spans="1:2" x14ac:dyDescent="0.3">
      <c r="A232" s="2" t="s">
        <v>476</v>
      </c>
      <c r="B232" s="2" t="s">
        <v>1278</v>
      </c>
    </row>
    <row r="233" spans="1:2" x14ac:dyDescent="0.3">
      <c r="A233" s="2" t="s">
        <v>477</v>
      </c>
      <c r="B233" s="2" t="s">
        <v>1278</v>
      </c>
    </row>
    <row r="234" spans="1:2" x14ac:dyDescent="0.3">
      <c r="A234" s="2" t="s">
        <v>478</v>
      </c>
      <c r="B234" s="2" t="s">
        <v>1278</v>
      </c>
    </row>
    <row r="235" spans="1:2" x14ac:dyDescent="0.3">
      <c r="A235" s="2" t="s">
        <v>479</v>
      </c>
      <c r="B235" s="2" t="s">
        <v>1278</v>
      </c>
    </row>
    <row r="236" spans="1:2" x14ac:dyDescent="0.3">
      <c r="A236" s="2" t="s">
        <v>480</v>
      </c>
      <c r="B236" s="2" t="s">
        <v>1279</v>
      </c>
    </row>
    <row r="237" spans="1:2" x14ac:dyDescent="0.3">
      <c r="A237" s="2" t="s">
        <v>481</v>
      </c>
      <c r="B237" s="2" t="s">
        <v>1278</v>
      </c>
    </row>
    <row r="238" spans="1:2" x14ac:dyDescent="0.3">
      <c r="A238" s="2" t="s">
        <v>482</v>
      </c>
      <c r="B238" s="2" t="s">
        <v>1278</v>
      </c>
    </row>
    <row r="239" spans="1:2" x14ac:dyDescent="0.3">
      <c r="A239" s="2" t="s">
        <v>483</v>
      </c>
      <c r="B239" s="2" t="s">
        <v>1278</v>
      </c>
    </row>
    <row r="240" spans="1:2" x14ac:dyDescent="0.3">
      <c r="A240" s="2" t="s">
        <v>484</v>
      </c>
      <c r="B240" s="2" t="s">
        <v>1278</v>
      </c>
    </row>
    <row r="241" spans="1:2" x14ac:dyDescent="0.3">
      <c r="A241" s="2" t="s">
        <v>485</v>
      </c>
      <c r="B241" s="2" t="s">
        <v>1278</v>
      </c>
    </row>
    <row r="242" spans="1:2" x14ac:dyDescent="0.3">
      <c r="A242" s="2" t="s">
        <v>486</v>
      </c>
      <c r="B242" s="2" t="s">
        <v>1279</v>
      </c>
    </row>
    <row r="243" spans="1:2" x14ac:dyDescent="0.3">
      <c r="A243" s="2" t="s">
        <v>487</v>
      </c>
      <c r="B243" s="2" t="s">
        <v>1278</v>
      </c>
    </row>
    <row r="244" spans="1:2" x14ac:dyDescent="0.3">
      <c r="A244" s="2" t="s">
        <v>488</v>
      </c>
      <c r="B244" s="2" t="s">
        <v>1278</v>
      </c>
    </row>
    <row r="245" spans="1:2" x14ac:dyDescent="0.3">
      <c r="A245" s="2" t="s">
        <v>489</v>
      </c>
      <c r="B245" s="2" t="s">
        <v>1278</v>
      </c>
    </row>
    <row r="246" spans="1:2" x14ac:dyDescent="0.3">
      <c r="A246" s="2" t="s">
        <v>490</v>
      </c>
      <c r="B246" s="2" t="s">
        <v>1278</v>
      </c>
    </row>
    <row r="247" spans="1:2" x14ac:dyDescent="0.3">
      <c r="A247" s="2" t="s">
        <v>491</v>
      </c>
      <c r="B247" s="2" t="s">
        <v>1278</v>
      </c>
    </row>
    <row r="248" spans="1:2" x14ac:dyDescent="0.3">
      <c r="A248" s="2" t="s">
        <v>492</v>
      </c>
      <c r="B248" s="2" t="s">
        <v>1279</v>
      </c>
    </row>
    <row r="249" spans="1:2" x14ac:dyDescent="0.3">
      <c r="A249" s="2" t="s">
        <v>493</v>
      </c>
      <c r="B249" s="2" t="s">
        <v>1278</v>
      </c>
    </row>
    <row r="250" spans="1:2" x14ac:dyDescent="0.3">
      <c r="A250" s="2" t="s">
        <v>494</v>
      </c>
      <c r="B250" s="2" t="s">
        <v>1278</v>
      </c>
    </row>
    <row r="251" spans="1:2" x14ac:dyDescent="0.3">
      <c r="A251" s="2" t="s">
        <v>495</v>
      </c>
      <c r="B251" s="2" t="s">
        <v>1278</v>
      </c>
    </row>
    <row r="252" spans="1:2" x14ac:dyDescent="0.3">
      <c r="A252" s="2" t="s">
        <v>496</v>
      </c>
      <c r="B252" s="2" t="s">
        <v>1279</v>
      </c>
    </row>
    <row r="253" spans="1:2" x14ac:dyDescent="0.3">
      <c r="A253" s="2" t="s">
        <v>497</v>
      </c>
      <c r="B253" s="2" t="s">
        <v>1278</v>
      </c>
    </row>
    <row r="254" spans="1:2" x14ac:dyDescent="0.3">
      <c r="A254" s="2" t="s">
        <v>498</v>
      </c>
      <c r="B254" s="2" t="s">
        <v>1278</v>
      </c>
    </row>
    <row r="255" spans="1:2" x14ac:dyDescent="0.3">
      <c r="A255" s="2" t="s">
        <v>499</v>
      </c>
      <c r="B255" s="2" t="s">
        <v>1278</v>
      </c>
    </row>
    <row r="256" spans="1:2" x14ac:dyDescent="0.3">
      <c r="A256" s="2" t="s">
        <v>500</v>
      </c>
      <c r="B256" s="2" t="s">
        <v>1278</v>
      </c>
    </row>
    <row r="257" spans="1:2" x14ac:dyDescent="0.3">
      <c r="A257" s="2" t="s">
        <v>501</v>
      </c>
      <c r="B257" s="2" t="s">
        <v>1278</v>
      </c>
    </row>
    <row r="258" spans="1:2" x14ac:dyDescent="0.3">
      <c r="A258" s="2" t="s">
        <v>502</v>
      </c>
      <c r="B258" s="2" t="s">
        <v>1278</v>
      </c>
    </row>
    <row r="259" spans="1:2" x14ac:dyDescent="0.3">
      <c r="A259" s="2" t="s">
        <v>503</v>
      </c>
      <c r="B259" s="2" t="s">
        <v>1278</v>
      </c>
    </row>
    <row r="260" spans="1:2" x14ac:dyDescent="0.3">
      <c r="A260" s="2" t="s">
        <v>504</v>
      </c>
      <c r="B260" s="2" t="s">
        <v>1278</v>
      </c>
    </row>
    <row r="261" spans="1:2" x14ac:dyDescent="0.3">
      <c r="A261" s="2" t="s">
        <v>505</v>
      </c>
      <c r="B261" s="2" t="s">
        <v>1278</v>
      </c>
    </row>
    <row r="262" spans="1:2" x14ac:dyDescent="0.3">
      <c r="A262" s="2" t="s">
        <v>506</v>
      </c>
      <c r="B262" s="2" t="s">
        <v>1278</v>
      </c>
    </row>
    <row r="263" spans="1:2" x14ac:dyDescent="0.3">
      <c r="A263" s="2" t="s">
        <v>507</v>
      </c>
      <c r="B263" s="2" t="s">
        <v>1278</v>
      </c>
    </row>
    <row r="264" spans="1:2" x14ac:dyDescent="0.3">
      <c r="A264" s="2" t="s">
        <v>508</v>
      </c>
      <c r="B264" s="2" t="s">
        <v>1278</v>
      </c>
    </row>
    <row r="265" spans="1:2" x14ac:dyDescent="0.3">
      <c r="A265" s="2" t="s">
        <v>509</v>
      </c>
      <c r="B265" s="2" t="s">
        <v>1278</v>
      </c>
    </row>
    <row r="266" spans="1:2" x14ac:dyDescent="0.3">
      <c r="A266" s="2" t="s">
        <v>510</v>
      </c>
      <c r="B266" s="2" t="s">
        <v>1278</v>
      </c>
    </row>
    <row r="267" spans="1:2" x14ac:dyDescent="0.3">
      <c r="A267" s="2" t="s">
        <v>511</v>
      </c>
      <c r="B267" s="2" t="s">
        <v>1279</v>
      </c>
    </row>
    <row r="268" spans="1:2" x14ac:dyDescent="0.3">
      <c r="A268" s="2" t="s">
        <v>512</v>
      </c>
      <c r="B268" s="2" t="s">
        <v>1278</v>
      </c>
    </row>
    <row r="269" spans="1:2" x14ac:dyDescent="0.3">
      <c r="A269" s="2" t="s">
        <v>513</v>
      </c>
      <c r="B269" s="2" t="s">
        <v>1278</v>
      </c>
    </row>
    <row r="270" spans="1:2" x14ac:dyDescent="0.3">
      <c r="A270" s="2" t="s">
        <v>514</v>
      </c>
      <c r="B270" s="2" t="s">
        <v>1278</v>
      </c>
    </row>
    <row r="271" spans="1:2" x14ac:dyDescent="0.3">
      <c r="A271" s="2" t="s">
        <v>515</v>
      </c>
      <c r="B271" s="2" t="s">
        <v>1278</v>
      </c>
    </row>
    <row r="272" spans="1:2" x14ac:dyDescent="0.3">
      <c r="A272" s="2" t="s">
        <v>516</v>
      </c>
      <c r="B272" s="2" t="s">
        <v>1278</v>
      </c>
    </row>
    <row r="273" spans="1:2" x14ac:dyDescent="0.3">
      <c r="A273" s="2" t="s">
        <v>517</v>
      </c>
      <c r="B273" s="2" t="s">
        <v>1278</v>
      </c>
    </row>
    <row r="274" spans="1:2" x14ac:dyDescent="0.3">
      <c r="A274" s="2" t="s">
        <v>518</v>
      </c>
      <c r="B274" s="2" t="s">
        <v>1278</v>
      </c>
    </row>
    <row r="275" spans="1:2" x14ac:dyDescent="0.3">
      <c r="A275" s="2" t="s">
        <v>519</v>
      </c>
      <c r="B275" s="2" t="s">
        <v>1278</v>
      </c>
    </row>
    <row r="276" spans="1:2" x14ac:dyDescent="0.3">
      <c r="A276" s="2" t="s">
        <v>520</v>
      </c>
      <c r="B276" s="2" t="s">
        <v>1278</v>
      </c>
    </row>
    <row r="277" spans="1:2" x14ac:dyDescent="0.3">
      <c r="A277" s="2" t="s">
        <v>521</v>
      </c>
      <c r="B277" s="2" t="s">
        <v>1279</v>
      </c>
    </row>
    <row r="278" spans="1:2" x14ac:dyDescent="0.3">
      <c r="A278" s="2" t="s">
        <v>522</v>
      </c>
      <c r="B278" s="2" t="s">
        <v>1279</v>
      </c>
    </row>
    <row r="279" spans="1:2" x14ac:dyDescent="0.3">
      <c r="A279" s="2" t="s">
        <v>523</v>
      </c>
      <c r="B279" s="2" t="s">
        <v>1278</v>
      </c>
    </row>
    <row r="280" spans="1:2" x14ac:dyDescent="0.3">
      <c r="A280" s="2" t="s">
        <v>524</v>
      </c>
      <c r="B280" s="2" t="s">
        <v>1278</v>
      </c>
    </row>
    <row r="281" spans="1:2" x14ac:dyDescent="0.3">
      <c r="A281" s="2" t="s">
        <v>525</v>
      </c>
      <c r="B281" s="2" t="s">
        <v>1279</v>
      </c>
    </row>
    <row r="282" spans="1:2" x14ac:dyDescent="0.3">
      <c r="A282" s="2" t="s">
        <v>526</v>
      </c>
      <c r="B282" s="2" t="s">
        <v>1278</v>
      </c>
    </row>
    <row r="283" spans="1:2" x14ac:dyDescent="0.3">
      <c r="A283" s="2" t="s">
        <v>527</v>
      </c>
      <c r="B283" s="2" t="s">
        <v>1278</v>
      </c>
    </row>
    <row r="284" spans="1:2" x14ac:dyDescent="0.3">
      <c r="A284" s="2" t="s">
        <v>528</v>
      </c>
      <c r="B284" s="2" t="s">
        <v>1278</v>
      </c>
    </row>
    <row r="285" spans="1:2" x14ac:dyDescent="0.3">
      <c r="A285" s="2" t="s">
        <v>529</v>
      </c>
      <c r="B285" s="2" t="s">
        <v>1278</v>
      </c>
    </row>
    <row r="286" spans="1:2" x14ac:dyDescent="0.3">
      <c r="A286" s="2" t="s">
        <v>530</v>
      </c>
      <c r="B286" s="2" t="s">
        <v>1278</v>
      </c>
    </row>
    <row r="287" spans="1:2" x14ac:dyDescent="0.3">
      <c r="A287" s="2" t="s">
        <v>531</v>
      </c>
      <c r="B287" s="2" t="s">
        <v>1278</v>
      </c>
    </row>
    <row r="288" spans="1:2" x14ac:dyDescent="0.3">
      <c r="A288" s="2" t="s">
        <v>532</v>
      </c>
      <c r="B288" s="2" t="s">
        <v>1279</v>
      </c>
    </row>
    <row r="289" spans="1:2" x14ac:dyDescent="0.3">
      <c r="A289" s="2" t="s">
        <v>533</v>
      </c>
      <c r="B289" s="2" t="s">
        <v>1279</v>
      </c>
    </row>
    <row r="290" spans="1:2" x14ac:dyDescent="0.3">
      <c r="A290" s="2" t="s">
        <v>534</v>
      </c>
      <c r="B290" s="2" t="s">
        <v>1279</v>
      </c>
    </row>
    <row r="291" spans="1:2" x14ac:dyDescent="0.3">
      <c r="A291" s="2" t="s">
        <v>535</v>
      </c>
      <c r="B291" s="2" t="s">
        <v>1278</v>
      </c>
    </row>
    <row r="292" spans="1:2" x14ac:dyDescent="0.3">
      <c r="A292" s="2" t="s">
        <v>536</v>
      </c>
      <c r="B292" s="2" t="s">
        <v>1278</v>
      </c>
    </row>
    <row r="293" spans="1:2" x14ac:dyDescent="0.3">
      <c r="A293" s="2" t="s">
        <v>537</v>
      </c>
      <c r="B293" s="2" t="s">
        <v>1279</v>
      </c>
    </row>
    <row r="294" spans="1:2" x14ac:dyDescent="0.3">
      <c r="A294" s="2" t="s">
        <v>538</v>
      </c>
      <c r="B294" s="2" t="s">
        <v>1278</v>
      </c>
    </row>
    <row r="295" spans="1:2" x14ac:dyDescent="0.3">
      <c r="A295" s="2" t="s">
        <v>539</v>
      </c>
      <c r="B295" s="2" t="s">
        <v>1278</v>
      </c>
    </row>
    <row r="296" spans="1:2" x14ac:dyDescent="0.3">
      <c r="A296" s="2" t="s">
        <v>540</v>
      </c>
      <c r="B296" s="2" t="s">
        <v>1278</v>
      </c>
    </row>
    <row r="297" spans="1:2" x14ac:dyDescent="0.3">
      <c r="A297" s="2" t="s">
        <v>541</v>
      </c>
      <c r="B297" s="2" t="s">
        <v>1278</v>
      </c>
    </row>
    <row r="298" spans="1:2" x14ac:dyDescent="0.3">
      <c r="A298" s="2" t="s">
        <v>542</v>
      </c>
      <c r="B298" s="2" t="s">
        <v>1278</v>
      </c>
    </row>
    <row r="299" spans="1:2" x14ac:dyDescent="0.3">
      <c r="A299" s="2" t="s">
        <v>543</v>
      </c>
      <c r="B299" s="2" t="s">
        <v>1278</v>
      </c>
    </row>
    <row r="300" spans="1:2" x14ac:dyDescent="0.3">
      <c r="A300" s="2" t="s">
        <v>544</v>
      </c>
      <c r="B300" s="2" t="s">
        <v>1278</v>
      </c>
    </row>
    <row r="301" spans="1:2" x14ac:dyDescent="0.3">
      <c r="A301" s="2" t="s">
        <v>545</v>
      </c>
      <c r="B301" s="2" t="s">
        <v>1278</v>
      </c>
    </row>
    <row r="302" spans="1:2" x14ac:dyDescent="0.3">
      <c r="A302" s="2" t="s">
        <v>546</v>
      </c>
      <c r="B302" s="2" t="s">
        <v>1278</v>
      </c>
    </row>
    <row r="303" spans="1:2" x14ac:dyDescent="0.3">
      <c r="A303" s="2" t="s">
        <v>547</v>
      </c>
      <c r="B303" s="2" t="s">
        <v>1278</v>
      </c>
    </row>
    <row r="304" spans="1:2" x14ac:dyDescent="0.3">
      <c r="A304" s="2" t="s">
        <v>548</v>
      </c>
      <c r="B304" s="2" t="s">
        <v>1278</v>
      </c>
    </row>
    <row r="305" spans="1:2" x14ac:dyDescent="0.3">
      <c r="A305" s="2" t="s">
        <v>549</v>
      </c>
      <c r="B305" s="2" t="s">
        <v>1278</v>
      </c>
    </row>
    <row r="306" spans="1:2" x14ac:dyDescent="0.3">
      <c r="A306" s="2" t="s">
        <v>550</v>
      </c>
      <c r="B306" s="2" t="s">
        <v>1278</v>
      </c>
    </row>
    <row r="307" spans="1:2" x14ac:dyDescent="0.3">
      <c r="A307" s="2" t="s">
        <v>551</v>
      </c>
      <c r="B307" s="2" t="s">
        <v>1278</v>
      </c>
    </row>
    <row r="308" spans="1:2" x14ac:dyDescent="0.3">
      <c r="A308" s="2" t="s">
        <v>552</v>
      </c>
      <c r="B308" s="2" t="s">
        <v>1278</v>
      </c>
    </row>
    <row r="309" spans="1:2" x14ac:dyDescent="0.3">
      <c r="A309" s="2" t="s">
        <v>553</v>
      </c>
      <c r="B309" s="2" t="s">
        <v>1278</v>
      </c>
    </row>
    <row r="310" spans="1:2" x14ac:dyDescent="0.3">
      <c r="A310" s="2" t="s">
        <v>554</v>
      </c>
      <c r="B310" s="2" t="s">
        <v>1278</v>
      </c>
    </row>
    <row r="311" spans="1:2" x14ac:dyDescent="0.3">
      <c r="A311" s="2" t="s">
        <v>555</v>
      </c>
      <c r="B311" s="2" t="s">
        <v>1278</v>
      </c>
    </row>
    <row r="312" spans="1:2" x14ac:dyDescent="0.3">
      <c r="A312" s="2" t="s">
        <v>556</v>
      </c>
      <c r="B312" s="2" t="s">
        <v>1278</v>
      </c>
    </row>
    <row r="313" spans="1:2" x14ac:dyDescent="0.3">
      <c r="A313" s="2" t="s">
        <v>557</v>
      </c>
      <c r="B313" s="2" t="s">
        <v>1278</v>
      </c>
    </row>
    <row r="314" spans="1:2" x14ac:dyDescent="0.3">
      <c r="A314" s="2" t="s">
        <v>558</v>
      </c>
      <c r="B314" s="2" t="s">
        <v>1278</v>
      </c>
    </row>
    <row r="315" spans="1:2" x14ac:dyDescent="0.3">
      <c r="A315" s="2" t="s">
        <v>559</v>
      </c>
      <c r="B315" s="2" t="s">
        <v>1279</v>
      </c>
    </row>
    <row r="316" spans="1:2" x14ac:dyDescent="0.3">
      <c r="A316" s="2" t="s">
        <v>560</v>
      </c>
      <c r="B316" s="2" t="s">
        <v>1279</v>
      </c>
    </row>
    <row r="317" spans="1:2" x14ac:dyDescent="0.3">
      <c r="A317" s="2" t="s">
        <v>561</v>
      </c>
      <c r="B317" s="2" t="s">
        <v>1278</v>
      </c>
    </row>
    <row r="318" spans="1:2" x14ac:dyDescent="0.3">
      <c r="A318" s="2" t="s">
        <v>562</v>
      </c>
      <c r="B318" s="2" t="s">
        <v>1278</v>
      </c>
    </row>
    <row r="319" spans="1:2" x14ac:dyDescent="0.3">
      <c r="A319" s="2" t="s">
        <v>563</v>
      </c>
      <c r="B319" s="2" t="s">
        <v>1278</v>
      </c>
    </row>
    <row r="320" spans="1:2" x14ac:dyDescent="0.3">
      <c r="A320" s="2" t="s">
        <v>564</v>
      </c>
      <c r="B320" s="2" t="s">
        <v>1279</v>
      </c>
    </row>
    <row r="321" spans="1:2" x14ac:dyDescent="0.3">
      <c r="A321" s="2" t="s">
        <v>565</v>
      </c>
      <c r="B321" s="2" t="s">
        <v>1279</v>
      </c>
    </row>
    <row r="322" spans="1:2" x14ac:dyDescent="0.3">
      <c r="A322" s="2" t="s">
        <v>566</v>
      </c>
      <c r="B322" s="2" t="s">
        <v>1278</v>
      </c>
    </row>
    <row r="323" spans="1:2" x14ac:dyDescent="0.3">
      <c r="A323" s="2" t="s">
        <v>567</v>
      </c>
      <c r="B323" s="2" t="s">
        <v>1278</v>
      </c>
    </row>
    <row r="324" spans="1:2" x14ac:dyDescent="0.3">
      <c r="A324" s="2" t="s">
        <v>568</v>
      </c>
      <c r="B324" s="2" t="s">
        <v>1278</v>
      </c>
    </row>
    <row r="325" spans="1:2" x14ac:dyDescent="0.3">
      <c r="A325" s="2" t="s">
        <v>569</v>
      </c>
      <c r="B325" s="2" t="s">
        <v>1278</v>
      </c>
    </row>
    <row r="326" spans="1:2" x14ac:dyDescent="0.3">
      <c r="A326" s="2" t="s">
        <v>570</v>
      </c>
      <c r="B326" s="2" t="s">
        <v>1278</v>
      </c>
    </row>
    <row r="327" spans="1:2" x14ac:dyDescent="0.3">
      <c r="A327" s="2" t="s">
        <v>571</v>
      </c>
      <c r="B327" s="2" t="s">
        <v>1278</v>
      </c>
    </row>
    <row r="328" spans="1:2" x14ac:dyDescent="0.3">
      <c r="A328" s="2" t="s">
        <v>572</v>
      </c>
      <c r="B328" s="2" t="s">
        <v>1278</v>
      </c>
    </row>
    <row r="329" spans="1:2" x14ac:dyDescent="0.3">
      <c r="A329" s="2" t="s">
        <v>573</v>
      </c>
      <c r="B329" s="2" t="s">
        <v>1278</v>
      </c>
    </row>
    <row r="330" spans="1:2" x14ac:dyDescent="0.3">
      <c r="A330" s="2" t="s">
        <v>574</v>
      </c>
      <c r="B330" s="2" t="s">
        <v>1278</v>
      </c>
    </row>
    <row r="331" spans="1:2" x14ac:dyDescent="0.3">
      <c r="A331" s="2" t="s">
        <v>575</v>
      </c>
      <c r="B331" s="2" t="s">
        <v>1278</v>
      </c>
    </row>
    <row r="332" spans="1:2" x14ac:dyDescent="0.3">
      <c r="A332" s="2" t="s">
        <v>576</v>
      </c>
      <c r="B332" s="2" t="s">
        <v>1278</v>
      </c>
    </row>
    <row r="333" spans="1:2" x14ac:dyDescent="0.3">
      <c r="A333" s="2" t="s">
        <v>577</v>
      </c>
      <c r="B333" s="2" t="s">
        <v>1279</v>
      </c>
    </row>
    <row r="334" spans="1:2" x14ac:dyDescent="0.3">
      <c r="A334" s="2" t="s">
        <v>578</v>
      </c>
      <c r="B334" s="2" t="s">
        <v>1278</v>
      </c>
    </row>
    <row r="335" spans="1:2" x14ac:dyDescent="0.3">
      <c r="A335" s="2" t="s">
        <v>579</v>
      </c>
      <c r="B335" s="2" t="s">
        <v>1278</v>
      </c>
    </row>
    <row r="336" spans="1:2" x14ac:dyDescent="0.3">
      <c r="A336" s="2" t="s">
        <v>580</v>
      </c>
      <c r="B336" s="2" t="s">
        <v>1278</v>
      </c>
    </row>
    <row r="337" spans="1:2" x14ac:dyDescent="0.3">
      <c r="A337" s="2" t="s">
        <v>581</v>
      </c>
      <c r="B337" s="2" t="s">
        <v>1278</v>
      </c>
    </row>
    <row r="338" spans="1:2" x14ac:dyDescent="0.3">
      <c r="A338" s="2" t="s">
        <v>582</v>
      </c>
      <c r="B338" s="2" t="s">
        <v>1278</v>
      </c>
    </row>
    <row r="339" spans="1:2" x14ac:dyDescent="0.3">
      <c r="A339" s="2" t="s">
        <v>583</v>
      </c>
      <c r="B339" s="2" t="s">
        <v>1278</v>
      </c>
    </row>
    <row r="340" spans="1:2" x14ac:dyDescent="0.3">
      <c r="A340" s="2" t="s">
        <v>584</v>
      </c>
      <c r="B340" s="2" t="s">
        <v>1279</v>
      </c>
    </row>
    <row r="341" spans="1:2" x14ac:dyDescent="0.3">
      <c r="A341" s="2" t="s">
        <v>585</v>
      </c>
      <c r="B341" s="2" t="s">
        <v>1279</v>
      </c>
    </row>
    <row r="342" spans="1:2" x14ac:dyDescent="0.3">
      <c r="A342" s="2" t="s">
        <v>586</v>
      </c>
      <c r="B342" s="2" t="s">
        <v>1278</v>
      </c>
    </row>
    <row r="343" spans="1:2" x14ac:dyDescent="0.3">
      <c r="A343" s="2" t="s">
        <v>587</v>
      </c>
      <c r="B343" s="2" t="s">
        <v>1278</v>
      </c>
    </row>
    <row r="344" spans="1:2" x14ac:dyDescent="0.3">
      <c r="A344" s="2" t="s">
        <v>588</v>
      </c>
      <c r="B344" s="2" t="s">
        <v>1279</v>
      </c>
    </row>
    <row r="345" spans="1:2" x14ac:dyDescent="0.3">
      <c r="A345" s="2" t="s">
        <v>589</v>
      </c>
      <c r="B345" s="2" t="s">
        <v>1278</v>
      </c>
    </row>
    <row r="346" spans="1:2" x14ac:dyDescent="0.3">
      <c r="A346" s="2" t="s">
        <v>590</v>
      </c>
      <c r="B346" s="2" t="s">
        <v>1278</v>
      </c>
    </row>
    <row r="347" spans="1:2" x14ac:dyDescent="0.3">
      <c r="A347" s="2" t="s">
        <v>591</v>
      </c>
      <c r="B347" s="2" t="s">
        <v>1278</v>
      </c>
    </row>
    <row r="348" spans="1:2" x14ac:dyDescent="0.3">
      <c r="A348" s="2" t="s">
        <v>592</v>
      </c>
      <c r="B348" s="2" t="s">
        <v>1278</v>
      </c>
    </row>
    <row r="349" spans="1:2" x14ac:dyDescent="0.3">
      <c r="A349" s="2" t="s">
        <v>593</v>
      </c>
      <c r="B349" s="2" t="s">
        <v>1278</v>
      </c>
    </row>
    <row r="350" spans="1:2" x14ac:dyDescent="0.3">
      <c r="A350" s="2" t="s">
        <v>594</v>
      </c>
      <c r="B350" s="2" t="s">
        <v>1278</v>
      </c>
    </row>
    <row r="351" spans="1:2" x14ac:dyDescent="0.3">
      <c r="A351" s="2" t="s">
        <v>595</v>
      </c>
      <c r="B351" s="2" t="s">
        <v>1278</v>
      </c>
    </row>
    <row r="352" spans="1:2" x14ac:dyDescent="0.3">
      <c r="A352" s="2" t="s">
        <v>596</v>
      </c>
      <c r="B352" s="2" t="s">
        <v>1279</v>
      </c>
    </row>
    <row r="353" spans="1:2" x14ac:dyDescent="0.3">
      <c r="A353" s="2" t="s">
        <v>597</v>
      </c>
      <c r="B353" s="2" t="s">
        <v>1278</v>
      </c>
    </row>
    <row r="354" spans="1:2" x14ac:dyDescent="0.3">
      <c r="A354" s="2" t="s">
        <v>598</v>
      </c>
      <c r="B354" s="2" t="s">
        <v>1278</v>
      </c>
    </row>
    <row r="355" spans="1:2" x14ac:dyDescent="0.3">
      <c r="A355" s="2" t="s">
        <v>599</v>
      </c>
      <c r="B355" s="2" t="s">
        <v>1278</v>
      </c>
    </row>
    <row r="356" spans="1:2" x14ac:dyDescent="0.3">
      <c r="A356" s="2" t="s">
        <v>600</v>
      </c>
      <c r="B356" s="2" t="s">
        <v>1279</v>
      </c>
    </row>
    <row r="357" spans="1:2" x14ac:dyDescent="0.3">
      <c r="A357" s="2" t="s">
        <v>601</v>
      </c>
      <c r="B357" s="2" t="s">
        <v>1278</v>
      </c>
    </row>
    <row r="358" spans="1:2" x14ac:dyDescent="0.3">
      <c r="A358" s="2" t="s">
        <v>602</v>
      </c>
      <c r="B358" s="2" t="s">
        <v>1279</v>
      </c>
    </row>
    <row r="359" spans="1:2" x14ac:dyDescent="0.3">
      <c r="A359" s="2" t="s">
        <v>603</v>
      </c>
      <c r="B359" s="2" t="s">
        <v>1279</v>
      </c>
    </row>
    <row r="360" spans="1:2" x14ac:dyDescent="0.3">
      <c r="A360" s="2" t="s">
        <v>604</v>
      </c>
      <c r="B360" s="2" t="s">
        <v>1278</v>
      </c>
    </row>
    <row r="361" spans="1:2" x14ac:dyDescent="0.3">
      <c r="A361" s="2" t="s">
        <v>605</v>
      </c>
      <c r="B361" s="2" t="s">
        <v>1278</v>
      </c>
    </row>
    <row r="362" spans="1:2" x14ac:dyDescent="0.3">
      <c r="A362" s="2" t="s">
        <v>606</v>
      </c>
      <c r="B362" s="2" t="s">
        <v>1278</v>
      </c>
    </row>
    <row r="363" spans="1:2" x14ac:dyDescent="0.3">
      <c r="A363" s="2" t="s">
        <v>607</v>
      </c>
      <c r="B363" s="2" t="s">
        <v>1278</v>
      </c>
    </row>
    <row r="364" spans="1:2" x14ac:dyDescent="0.3">
      <c r="A364" s="2" t="s">
        <v>608</v>
      </c>
      <c r="B364" s="2" t="s">
        <v>1278</v>
      </c>
    </row>
    <row r="365" spans="1:2" x14ac:dyDescent="0.3">
      <c r="A365" s="2" t="s">
        <v>609</v>
      </c>
      <c r="B365" s="2" t="s">
        <v>1278</v>
      </c>
    </row>
    <row r="366" spans="1:2" x14ac:dyDescent="0.3">
      <c r="A366" s="2" t="s">
        <v>610</v>
      </c>
      <c r="B366" s="2" t="s">
        <v>1278</v>
      </c>
    </row>
    <row r="367" spans="1:2" x14ac:dyDescent="0.3">
      <c r="A367" s="2" t="s">
        <v>611</v>
      </c>
      <c r="B367" s="2" t="s">
        <v>1278</v>
      </c>
    </row>
    <row r="368" spans="1:2" x14ac:dyDescent="0.3">
      <c r="A368" s="2" t="s">
        <v>612</v>
      </c>
      <c r="B368" s="2" t="s">
        <v>1279</v>
      </c>
    </row>
    <row r="369" spans="1:2" x14ac:dyDescent="0.3">
      <c r="A369" s="2" t="s">
        <v>613</v>
      </c>
      <c r="B369" s="2" t="s">
        <v>1278</v>
      </c>
    </row>
    <row r="370" spans="1:2" x14ac:dyDescent="0.3">
      <c r="A370" s="2" t="s">
        <v>614</v>
      </c>
      <c r="B370" s="2" t="s">
        <v>1278</v>
      </c>
    </row>
    <row r="371" spans="1:2" x14ac:dyDescent="0.3">
      <c r="A371" s="2" t="s">
        <v>615</v>
      </c>
      <c r="B371" s="2" t="s">
        <v>1278</v>
      </c>
    </row>
    <row r="372" spans="1:2" x14ac:dyDescent="0.3">
      <c r="A372" s="2" t="s">
        <v>616</v>
      </c>
      <c r="B372" s="2" t="s">
        <v>1278</v>
      </c>
    </row>
    <row r="373" spans="1:2" x14ac:dyDescent="0.3">
      <c r="A373" s="2" t="s">
        <v>617</v>
      </c>
      <c r="B373" s="2" t="s">
        <v>1278</v>
      </c>
    </row>
    <row r="374" spans="1:2" x14ac:dyDescent="0.3">
      <c r="A374" s="2" t="s">
        <v>618</v>
      </c>
      <c r="B374" s="2" t="s">
        <v>1278</v>
      </c>
    </row>
    <row r="375" spans="1:2" x14ac:dyDescent="0.3">
      <c r="A375" s="2" t="s">
        <v>619</v>
      </c>
      <c r="B375" s="2" t="s">
        <v>1278</v>
      </c>
    </row>
    <row r="376" spans="1:2" x14ac:dyDescent="0.3">
      <c r="A376" s="2" t="s">
        <v>620</v>
      </c>
      <c r="B376" s="2" t="s">
        <v>1278</v>
      </c>
    </row>
    <row r="377" spans="1:2" x14ac:dyDescent="0.3">
      <c r="A377" s="2" t="s">
        <v>621</v>
      </c>
      <c r="B377" s="2" t="s">
        <v>1278</v>
      </c>
    </row>
    <row r="378" spans="1:2" x14ac:dyDescent="0.3">
      <c r="A378" s="2" t="s">
        <v>622</v>
      </c>
      <c r="B378" s="2" t="s">
        <v>1278</v>
      </c>
    </row>
    <row r="379" spans="1:2" x14ac:dyDescent="0.3">
      <c r="A379" s="2" t="s">
        <v>623</v>
      </c>
      <c r="B379" s="2" t="s">
        <v>1278</v>
      </c>
    </row>
    <row r="380" spans="1:2" x14ac:dyDescent="0.3">
      <c r="A380" s="2" t="s">
        <v>624</v>
      </c>
      <c r="B380" s="2" t="s">
        <v>1278</v>
      </c>
    </row>
    <row r="381" spans="1:2" x14ac:dyDescent="0.3">
      <c r="A381" s="2" t="s">
        <v>625</v>
      </c>
      <c r="B381" s="2" t="s">
        <v>1278</v>
      </c>
    </row>
    <row r="382" spans="1:2" x14ac:dyDescent="0.3">
      <c r="A382" s="2" t="s">
        <v>626</v>
      </c>
      <c r="B382" s="2" t="s">
        <v>1278</v>
      </c>
    </row>
    <row r="383" spans="1:2" x14ac:dyDescent="0.3">
      <c r="A383" s="2" t="s">
        <v>627</v>
      </c>
      <c r="B383" s="2" t="s">
        <v>1279</v>
      </c>
    </row>
    <row r="384" spans="1:2" x14ac:dyDescent="0.3">
      <c r="A384" s="2" t="s">
        <v>628</v>
      </c>
      <c r="B384" s="2" t="s">
        <v>1279</v>
      </c>
    </row>
    <row r="385" spans="1:2" x14ac:dyDescent="0.3">
      <c r="A385" s="2" t="s">
        <v>629</v>
      </c>
      <c r="B385" s="2" t="s">
        <v>1278</v>
      </c>
    </row>
    <row r="386" spans="1:2" x14ac:dyDescent="0.3">
      <c r="A386" s="2" t="s">
        <v>630</v>
      </c>
      <c r="B386" s="2" t="s">
        <v>1278</v>
      </c>
    </row>
    <row r="387" spans="1:2" x14ac:dyDescent="0.3">
      <c r="A387" s="2" t="s">
        <v>631</v>
      </c>
      <c r="B387" s="2" t="s">
        <v>1278</v>
      </c>
    </row>
    <row r="388" spans="1:2" x14ac:dyDescent="0.3">
      <c r="A388" s="2" t="s">
        <v>632</v>
      </c>
      <c r="B388" s="2" t="s">
        <v>1279</v>
      </c>
    </row>
    <row r="389" spans="1:2" x14ac:dyDescent="0.3">
      <c r="A389" s="2" t="s">
        <v>633</v>
      </c>
      <c r="B389" s="2" t="s">
        <v>1278</v>
      </c>
    </row>
    <row r="390" spans="1:2" x14ac:dyDescent="0.3">
      <c r="A390" s="2" t="s">
        <v>634</v>
      </c>
      <c r="B390" s="2" t="s">
        <v>1279</v>
      </c>
    </row>
    <row r="391" spans="1:2" x14ac:dyDescent="0.3">
      <c r="A391" s="2" t="s">
        <v>635</v>
      </c>
      <c r="B391" s="2" t="s">
        <v>1278</v>
      </c>
    </row>
    <row r="392" spans="1:2" x14ac:dyDescent="0.3">
      <c r="A392" s="2" t="s">
        <v>636</v>
      </c>
      <c r="B392" s="2" t="s">
        <v>1278</v>
      </c>
    </row>
    <row r="393" spans="1:2" x14ac:dyDescent="0.3">
      <c r="A393" s="2" t="s">
        <v>637</v>
      </c>
      <c r="B393" s="2" t="s">
        <v>1278</v>
      </c>
    </row>
    <row r="394" spans="1:2" x14ac:dyDescent="0.3">
      <c r="A394" s="2" t="s">
        <v>638</v>
      </c>
      <c r="B394" s="2" t="s">
        <v>1278</v>
      </c>
    </row>
    <row r="395" spans="1:2" x14ac:dyDescent="0.3">
      <c r="A395" s="2" t="s">
        <v>639</v>
      </c>
      <c r="B395" s="2" t="s">
        <v>1278</v>
      </c>
    </row>
    <row r="396" spans="1:2" x14ac:dyDescent="0.3">
      <c r="A396" s="2" t="s">
        <v>640</v>
      </c>
      <c r="B396" s="2" t="s">
        <v>1278</v>
      </c>
    </row>
    <row r="397" spans="1:2" x14ac:dyDescent="0.3">
      <c r="A397" s="2" t="s">
        <v>641</v>
      </c>
      <c r="B397" s="2" t="s">
        <v>1279</v>
      </c>
    </row>
    <row r="398" spans="1:2" x14ac:dyDescent="0.3">
      <c r="A398" s="2" t="s">
        <v>642</v>
      </c>
      <c r="B398" s="2" t="s">
        <v>1278</v>
      </c>
    </row>
    <row r="399" spans="1:2" x14ac:dyDescent="0.3">
      <c r="A399" s="2" t="s">
        <v>643</v>
      </c>
      <c r="B399" s="2" t="s">
        <v>1278</v>
      </c>
    </row>
    <row r="400" spans="1:2" x14ac:dyDescent="0.3">
      <c r="A400" s="2" t="s">
        <v>644</v>
      </c>
      <c r="B400" s="2" t="s">
        <v>1278</v>
      </c>
    </row>
    <row r="401" spans="1:2" x14ac:dyDescent="0.3">
      <c r="A401" s="2" t="s">
        <v>645</v>
      </c>
      <c r="B401" s="2" t="s">
        <v>1279</v>
      </c>
    </row>
    <row r="402" spans="1:2" x14ac:dyDescent="0.3">
      <c r="A402" s="2" t="s">
        <v>646</v>
      </c>
      <c r="B402" s="2" t="s">
        <v>1278</v>
      </c>
    </row>
    <row r="403" spans="1:2" x14ac:dyDescent="0.3">
      <c r="A403" s="2" t="s">
        <v>647</v>
      </c>
      <c r="B403" s="2" t="s">
        <v>1278</v>
      </c>
    </row>
    <row r="404" spans="1:2" x14ac:dyDescent="0.3">
      <c r="A404" s="2" t="s">
        <v>648</v>
      </c>
      <c r="B404" s="2" t="s">
        <v>1279</v>
      </c>
    </row>
    <row r="405" spans="1:2" x14ac:dyDescent="0.3">
      <c r="A405" s="2" t="s">
        <v>649</v>
      </c>
      <c r="B405" s="2" t="s">
        <v>1278</v>
      </c>
    </row>
    <row r="406" spans="1:2" x14ac:dyDescent="0.3">
      <c r="A406" s="2" t="s">
        <v>650</v>
      </c>
      <c r="B406" s="2" t="s">
        <v>1279</v>
      </c>
    </row>
    <row r="407" spans="1:2" x14ac:dyDescent="0.3">
      <c r="A407" s="2" t="s">
        <v>651</v>
      </c>
      <c r="B407" s="2" t="s">
        <v>1278</v>
      </c>
    </row>
    <row r="408" spans="1:2" x14ac:dyDescent="0.3">
      <c r="A408" s="2" t="s">
        <v>652</v>
      </c>
      <c r="B408" s="2" t="s">
        <v>1278</v>
      </c>
    </row>
    <row r="409" spans="1:2" x14ac:dyDescent="0.3">
      <c r="A409" s="2" t="s">
        <v>653</v>
      </c>
      <c r="B409" s="2" t="s">
        <v>1278</v>
      </c>
    </row>
    <row r="410" spans="1:2" x14ac:dyDescent="0.3">
      <c r="A410" s="2" t="s">
        <v>654</v>
      </c>
      <c r="B410" s="2" t="s">
        <v>1278</v>
      </c>
    </row>
    <row r="411" spans="1:2" x14ac:dyDescent="0.3">
      <c r="A411" s="2" t="s">
        <v>655</v>
      </c>
      <c r="B411" s="2" t="s">
        <v>1278</v>
      </c>
    </row>
    <row r="412" spans="1:2" x14ac:dyDescent="0.3">
      <c r="A412" s="2" t="s">
        <v>656</v>
      </c>
      <c r="B412" s="2" t="s">
        <v>1278</v>
      </c>
    </row>
    <row r="413" spans="1:2" x14ac:dyDescent="0.3">
      <c r="A413" s="2" t="s">
        <v>657</v>
      </c>
      <c r="B413" s="2" t="s">
        <v>1278</v>
      </c>
    </row>
    <row r="414" spans="1:2" x14ac:dyDescent="0.3">
      <c r="A414" s="2" t="s">
        <v>658</v>
      </c>
      <c r="B414" s="2" t="s">
        <v>1279</v>
      </c>
    </row>
    <row r="415" spans="1:2" x14ac:dyDescent="0.3">
      <c r="A415" s="2" t="s">
        <v>659</v>
      </c>
      <c r="B415" s="2" t="s">
        <v>1278</v>
      </c>
    </row>
    <row r="416" spans="1:2" x14ac:dyDescent="0.3">
      <c r="A416" s="2" t="s">
        <v>660</v>
      </c>
      <c r="B416" s="2" t="s">
        <v>1278</v>
      </c>
    </row>
    <row r="417" spans="1:2" x14ac:dyDescent="0.3">
      <c r="A417" s="2" t="s">
        <v>661</v>
      </c>
      <c r="B417" s="2" t="s">
        <v>1278</v>
      </c>
    </row>
    <row r="418" spans="1:2" x14ac:dyDescent="0.3">
      <c r="A418" s="2" t="s">
        <v>662</v>
      </c>
      <c r="B418" s="2" t="s">
        <v>1278</v>
      </c>
    </row>
    <row r="419" spans="1:2" x14ac:dyDescent="0.3">
      <c r="A419" s="2" t="s">
        <v>663</v>
      </c>
      <c r="B419" s="2" t="s">
        <v>1278</v>
      </c>
    </row>
    <row r="420" spans="1:2" x14ac:dyDescent="0.3">
      <c r="A420" s="2" t="s">
        <v>664</v>
      </c>
      <c r="B420" s="2" t="s">
        <v>1278</v>
      </c>
    </row>
    <row r="421" spans="1:2" x14ac:dyDescent="0.3">
      <c r="A421" s="2" t="s">
        <v>665</v>
      </c>
      <c r="B421" s="2" t="s">
        <v>1278</v>
      </c>
    </row>
    <row r="422" spans="1:2" x14ac:dyDescent="0.3">
      <c r="A422" s="2" t="s">
        <v>666</v>
      </c>
      <c r="B422" s="2" t="s">
        <v>1278</v>
      </c>
    </row>
    <row r="423" spans="1:2" x14ac:dyDescent="0.3">
      <c r="A423" s="2" t="s">
        <v>667</v>
      </c>
      <c r="B423" s="2" t="s">
        <v>1278</v>
      </c>
    </row>
    <row r="424" spans="1:2" x14ac:dyDescent="0.3">
      <c r="A424" s="2" t="s">
        <v>668</v>
      </c>
      <c r="B424" s="2" t="s">
        <v>1278</v>
      </c>
    </row>
    <row r="425" spans="1:2" x14ac:dyDescent="0.3">
      <c r="A425" s="2" t="s">
        <v>669</v>
      </c>
      <c r="B425" s="2" t="s">
        <v>1278</v>
      </c>
    </row>
    <row r="426" spans="1:2" x14ac:dyDescent="0.3">
      <c r="A426" s="2" t="s">
        <v>670</v>
      </c>
      <c r="B426" s="2" t="s">
        <v>1278</v>
      </c>
    </row>
    <row r="427" spans="1:2" x14ac:dyDescent="0.3">
      <c r="A427" s="2" t="s">
        <v>671</v>
      </c>
      <c r="B427" s="2" t="s">
        <v>1278</v>
      </c>
    </row>
    <row r="428" spans="1:2" x14ac:dyDescent="0.3">
      <c r="A428" s="2" t="s">
        <v>672</v>
      </c>
      <c r="B428" s="2" t="s">
        <v>1278</v>
      </c>
    </row>
    <row r="429" spans="1:2" x14ac:dyDescent="0.3">
      <c r="A429" s="2" t="s">
        <v>673</v>
      </c>
      <c r="B429" s="2" t="s">
        <v>1278</v>
      </c>
    </row>
    <row r="430" spans="1:2" x14ac:dyDescent="0.3">
      <c r="A430" s="2" t="s">
        <v>674</v>
      </c>
      <c r="B430" s="2" t="s">
        <v>1278</v>
      </c>
    </row>
    <row r="431" spans="1:2" x14ac:dyDescent="0.3">
      <c r="A431" s="2" t="s">
        <v>675</v>
      </c>
      <c r="B431" s="2" t="s">
        <v>1278</v>
      </c>
    </row>
    <row r="432" spans="1:2" x14ac:dyDescent="0.3">
      <c r="A432" s="2" t="s">
        <v>676</v>
      </c>
      <c r="B432" s="2" t="s">
        <v>1278</v>
      </c>
    </row>
    <row r="433" spans="1:2" x14ac:dyDescent="0.3">
      <c r="A433" s="2" t="s">
        <v>677</v>
      </c>
      <c r="B433" s="2" t="s">
        <v>1278</v>
      </c>
    </row>
    <row r="434" spans="1:2" x14ac:dyDescent="0.3">
      <c r="A434" s="2" t="s">
        <v>678</v>
      </c>
      <c r="B434" s="2" t="s">
        <v>1278</v>
      </c>
    </row>
    <row r="435" spans="1:2" x14ac:dyDescent="0.3">
      <c r="A435" s="2" t="s">
        <v>679</v>
      </c>
      <c r="B435" s="2" t="s">
        <v>1278</v>
      </c>
    </row>
    <row r="436" spans="1:2" x14ac:dyDescent="0.3">
      <c r="A436" s="2" t="s">
        <v>680</v>
      </c>
      <c r="B436" s="2" t="s">
        <v>1278</v>
      </c>
    </row>
    <row r="437" spans="1:2" x14ac:dyDescent="0.3">
      <c r="A437" s="2" t="s">
        <v>681</v>
      </c>
      <c r="B437" s="2" t="s">
        <v>1279</v>
      </c>
    </row>
    <row r="438" spans="1:2" x14ac:dyDescent="0.3">
      <c r="A438" s="2" t="s">
        <v>682</v>
      </c>
      <c r="B438" s="2" t="s">
        <v>1279</v>
      </c>
    </row>
    <row r="439" spans="1:2" x14ac:dyDescent="0.3">
      <c r="A439" s="2" t="s">
        <v>683</v>
      </c>
      <c r="B439" s="2" t="s">
        <v>1278</v>
      </c>
    </row>
    <row r="440" spans="1:2" x14ac:dyDescent="0.3">
      <c r="A440" s="2" t="s">
        <v>684</v>
      </c>
      <c r="B440" s="2" t="s">
        <v>1279</v>
      </c>
    </row>
    <row r="441" spans="1:2" x14ac:dyDescent="0.3">
      <c r="A441" s="2" t="s">
        <v>685</v>
      </c>
      <c r="B441" s="2" t="s">
        <v>1278</v>
      </c>
    </row>
    <row r="442" spans="1:2" x14ac:dyDescent="0.3">
      <c r="A442" s="2" t="s">
        <v>686</v>
      </c>
      <c r="B442" s="2" t="s">
        <v>1278</v>
      </c>
    </row>
    <row r="443" spans="1:2" x14ac:dyDescent="0.3">
      <c r="A443" s="2" t="s">
        <v>687</v>
      </c>
      <c r="B443" s="2" t="s">
        <v>1278</v>
      </c>
    </row>
    <row r="444" spans="1:2" x14ac:dyDescent="0.3">
      <c r="A444" s="2" t="s">
        <v>688</v>
      </c>
      <c r="B444" s="2" t="s">
        <v>1278</v>
      </c>
    </row>
    <row r="445" spans="1:2" x14ac:dyDescent="0.3">
      <c r="A445" s="2" t="s">
        <v>689</v>
      </c>
      <c r="B445" s="2" t="s">
        <v>1278</v>
      </c>
    </row>
    <row r="446" spans="1:2" x14ac:dyDescent="0.3">
      <c r="A446" s="2" t="s">
        <v>690</v>
      </c>
      <c r="B446" s="2" t="s">
        <v>1278</v>
      </c>
    </row>
    <row r="447" spans="1:2" x14ac:dyDescent="0.3">
      <c r="A447" s="2" t="s">
        <v>691</v>
      </c>
      <c r="B447" s="2" t="s">
        <v>1278</v>
      </c>
    </row>
    <row r="448" spans="1:2" x14ac:dyDescent="0.3">
      <c r="A448" s="2" t="s">
        <v>692</v>
      </c>
      <c r="B448" s="2" t="s">
        <v>1278</v>
      </c>
    </row>
    <row r="449" spans="1:2" x14ac:dyDescent="0.3">
      <c r="A449" s="2" t="s">
        <v>693</v>
      </c>
      <c r="B449" s="2" t="s">
        <v>1278</v>
      </c>
    </row>
    <row r="450" spans="1:2" x14ac:dyDescent="0.3">
      <c r="A450" s="2" t="s">
        <v>694</v>
      </c>
      <c r="B450" s="2" t="s">
        <v>1278</v>
      </c>
    </row>
    <row r="451" spans="1:2" x14ac:dyDescent="0.3">
      <c r="A451" s="2" t="s">
        <v>695</v>
      </c>
      <c r="B451" s="2" t="s">
        <v>1278</v>
      </c>
    </row>
    <row r="452" spans="1:2" x14ac:dyDescent="0.3">
      <c r="A452" s="2" t="s">
        <v>696</v>
      </c>
      <c r="B452" s="2" t="s">
        <v>1278</v>
      </c>
    </row>
    <row r="453" spans="1:2" x14ac:dyDescent="0.3">
      <c r="A453" s="2" t="s">
        <v>697</v>
      </c>
      <c r="B453" s="2" t="s">
        <v>1278</v>
      </c>
    </row>
    <row r="454" spans="1:2" x14ac:dyDescent="0.3">
      <c r="A454" s="2" t="s">
        <v>698</v>
      </c>
      <c r="B454" s="2" t="s">
        <v>1278</v>
      </c>
    </row>
    <row r="455" spans="1:2" x14ac:dyDescent="0.3">
      <c r="A455" s="2" t="s">
        <v>699</v>
      </c>
      <c r="B455" s="2" t="s">
        <v>1278</v>
      </c>
    </row>
    <row r="456" spans="1:2" x14ac:dyDescent="0.3">
      <c r="A456" s="2" t="s">
        <v>700</v>
      </c>
      <c r="B456" s="2" t="s">
        <v>1279</v>
      </c>
    </row>
    <row r="457" spans="1:2" x14ac:dyDescent="0.3">
      <c r="A457" s="2" t="s">
        <v>701</v>
      </c>
      <c r="B457" s="2" t="s">
        <v>1278</v>
      </c>
    </row>
    <row r="458" spans="1:2" x14ac:dyDescent="0.3">
      <c r="A458" s="2" t="s">
        <v>702</v>
      </c>
      <c r="B458" s="2" t="s">
        <v>1279</v>
      </c>
    </row>
    <row r="459" spans="1:2" x14ac:dyDescent="0.3">
      <c r="A459" s="2" t="s">
        <v>703</v>
      </c>
      <c r="B459" s="2" t="s">
        <v>1278</v>
      </c>
    </row>
    <row r="460" spans="1:2" x14ac:dyDescent="0.3">
      <c r="A460" s="2" t="s">
        <v>704</v>
      </c>
      <c r="B460" s="2" t="s">
        <v>1278</v>
      </c>
    </row>
    <row r="461" spans="1:2" x14ac:dyDescent="0.3">
      <c r="A461" s="2" t="s">
        <v>705</v>
      </c>
      <c r="B461" s="2" t="s">
        <v>1278</v>
      </c>
    </row>
    <row r="462" spans="1:2" x14ac:dyDescent="0.3">
      <c r="A462" s="2" t="s">
        <v>706</v>
      </c>
      <c r="B462" s="2" t="s">
        <v>1278</v>
      </c>
    </row>
    <row r="463" spans="1:2" x14ac:dyDescent="0.3">
      <c r="A463" s="2" t="s">
        <v>707</v>
      </c>
      <c r="B463" s="2" t="s">
        <v>1278</v>
      </c>
    </row>
    <row r="464" spans="1:2" x14ac:dyDescent="0.3">
      <c r="A464" s="2" t="s">
        <v>708</v>
      </c>
      <c r="B464" s="2" t="s">
        <v>1278</v>
      </c>
    </row>
    <row r="465" spans="1:2" x14ac:dyDescent="0.3">
      <c r="A465" s="2" t="s">
        <v>709</v>
      </c>
      <c r="B465" s="2" t="s">
        <v>1278</v>
      </c>
    </row>
    <row r="466" spans="1:2" x14ac:dyDescent="0.3">
      <c r="A466" s="2" t="s">
        <v>710</v>
      </c>
      <c r="B466" s="2" t="s">
        <v>1278</v>
      </c>
    </row>
    <row r="467" spans="1:2" x14ac:dyDescent="0.3">
      <c r="A467" s="2" t="s">
        <v>711</v>
      </c>
      <c r="B467" s="2" t="s">
        <v>1278</v>
      </c>
    </row>
    <row r="468" spans="1:2" x14ac:dyDescent="0.3">
      <c r="A468" s="2" t="s">
        <v>712</v>
      </c>
      <c r="B468" s="2" t="s">
        <v>1278</v>
      </c>
    </row>
    <row r="469" spans="1:2" x14ac:dyDescent="0.3">
      <c r="A469" s="2" t="s">
        <v>713</v>
      </c>
      <c r="B469" s="2" t="s">
        <v>1278</v>
      </c>
    </row>
    <row r="470" spans="1:2" x14ac:dyDescent="0.3">
      <c r="A470" s="2" t="s">
        <v>714</v>
      </c>
      <c r="B470" s="2" t="s">
        <v>1278</v>
      </c>
    </row>
    <row r="471" spans="1:2" x14ac:dyDescent="0.3">
      <c r="A471" s="2" t="s">
        <v>715</v>
      </c>
      <c r="B471" s="2" t="s">
        <v>1278</v>
      </c>
    </row>
    <row r="472" spans="1:2" x14ac:dyDescent="0.3">
      <c r="A472" s="2" t="s">
        <v>716</v>
      </c>
      <c r="B472" s="2" t="s">
        <v>1278</v>
      </c>
    </row>
    <row r="473" spans="1:2" x14ac:dyDescent="0.3">
      <c r="A473" s="2" t="s">
        <v>717</v>
      </c>
      <c r="B473" s="2" t="s">
        <v>1279</v>
      </c>
    </row>
    <row r="474" spans="1:2" x14ac:dyDescent="0.3">
      <c r="A474" s="2" t="s">
        <v>718</v>
      </c>
      <c r="B474" s="2" t="s">
        <v>1278</v>
      </c>
    </row>
    <row r="475" spans="1:2" x14ac:dyDescent="0.3">
      <c r="A475" s="2" t="s">
        <v>719</v>
      </c>
      <c r="B475" s="2" t="s">
        <v>1278</v>
      </c>
    </row>
    <row r="476" spans="1:2" x14ac:dyDescent="0.3">
      <c r="A476" s="2" t="s">
        <v>720</v>
      </c>
      <c r="B476" s="2" t="s">
        <v>1278</v>
      </c>
    </row>
    <row r="477" spans="1:2" x14ac:dyDescent="0.3">
      <c r="A477" s="2" t="s">
        <v>721</v>
      </c>
      <c r="B477" s="2" t="s">
        <v>1278</v>
      </c>
    </row>
    <row r="478" spans="1:2" x14ac:dyDescent="0.3">
      <c r="A478" s="2" t="s">
        <v>722</v>
      </c>
      <c r="B478" s="2" t="s">
        <v>1279</v>
      </c>
    </row>
    <row r="479" spans="1:2" x14ac:dyDescent="0.3">
      <c r="A479" s="2" t="s">
        <v>723</v>
      </c>
      <c r="B479" s="2" t="s">
        <v>1278</v>
      </c>
    </row>
    <row r="480" spans="1:2" x14ac:dyDescent="0.3">
      <c r="A480" s="2" t="s">
        <v>724</v>
      </c>
      <c r="B480" s="2" t="s">
        <v>1278</v>
      </c>
    </row>
    <row r="481" spans="1:2" x14ac:dyDescent="0.3">
      <c r="A481" s="2" t="s">
        <v>725</v>
      </c>
      <c r="B481" s="2" t="s">
        <v>1278</v>
      </c>
    </row>
    <row r="482" spans="1:2" x14ac:dyDescent="0.3">
      <c r="A482" s="2" t="s">
        <v>726</v>
      </c>
      <c r="B482" s="2" t="s">
        <v>1278</v>
      </c>
    </row>
    <row r="483" spans="1:2" x14ac:dyDescent="0.3">
      <c r="A483" s="2" t="s">
        <v>727</v>
      </c>
      <c r="B483" s="2" t="s">
        <v>1278</v>
      </c>
    </row>
    <row r="484" spans="1:2" x14ac:dyDescent="0.3">
      <c r="A484" s="2" t="s">
        <v>728</v>
      </c>
      <c r="B484" s="2" t="s">
        <v>1278</v>
      </c>
    </row>
    <row r="485" spans="1:2" x14ac:dyDescent="0.3">
      <c r="A485" s="2" t="s">
        <v>729</v>
      </c>
      <c r="B485" s="2" t="s">
        <v>1278</v>
      </c>
    </row>
    <row r="486" spans="1:2" x14ac:dyDescent="0.3">
      <c r="A486" s="2" t="s">
        <v>730</v>
      </c>
      <c r="B486" s="2" t="s">
        <v>1278</v>
      </c>
    </row>
    <row r="487" spans="1:2" x14ac:dyDescent="0.3">
      <c r="A487" s="2" t="s">
        <v>731</v>
      </c>
      <c r="B487" s="2" t="s">
        <v>1278</v>
      </c>
    </row>
    <row r="488" spans="1:2" x14ac:dyDescent="0.3">
      <c r="A488" s="2" t="s">
        <v>732</v>
      </c>
      <c r="B488" s="2" t="s">
        <v>1278</v>
      </c>
    </row>
    <row r="489" spans="1:2" x14ac:dyDescent="0.3">
      <c r="A489" s="2" t="s">
        <v>733</v>
      </c>
      <c r="B489" s="2" t="s">
        <v>1278</v>
      </c>
    </row>
    <row r="490" spans="1:2" x14ac:dyDescent="0.3">
      <c r="A490" s="2" t="s">
        <v>734</v>
      </c>
      <c r="B490" s="2" t="s">
        <v>1278</v>
      </c>
    </row>
    <row r="491" spans="1:2" x14ac:dyDescent="0.3">
      <c r="A491" s="2" t="s">
        <v>735</v>
      </c>
      <c r="B491" s="2" t="s">
        <v>1278</v>
      </c>
    </row>
    <row r="492" spans="1:2" x14ac:dyDescent="0.3">
      <c r="A492" s="2" t="s">
        <v>736</v>
      </c>
      <c r="B492" s="2" t="s">
        <v>1278</v>
      </c>
    </row>
    <row r="493" spans="1:2" x14ac:dyDescent="0.3">
      <c r="A493" s="2" t="s">
        <v>737</v>
      </c>
      <c r="B493" s="2" t="s">
        <v>1278</v>
      </c>
    </row>
    <row r="494" spans="1:2" x14ac:dyDescent="0.3">
      <c r="A494" s="2" t="s">
        <v>738</v>
      </c>
      <c r="B494" s="2" t="s">
        <v>1278</v>
      </c>
    </row>
    <row r="495" spans="1:2" x14ac:dyDescent="0.3">
      <c r="A495" s="2" t="s">
        <v>739</v>
      </c>
      <c r="B495" s="2" t="s">
        <v>1278</v>
      </c>
    </row>
    <row r="496" spans="1:2" x14ac:dyDescent="0.3">
      <c r="A496" s="2" t="s">
        <v>740</v>
      </c>
      <c r="B496" s="2" t="s">
        <v>1279</v>
      </c>
    </row>
    <row r="497" spans="1:2" x14ac:dyDescent="0.3">
      <c r="A497" s="2" t="s">
        <v>741</v>
      </c>
      <c r="B497" s="2" t="s">
        <v>1278</v>
      </c>
    </row>
    <row r="498" spans="1:2" x14ac:dyDescent="0.3">
      <c r="A498" s="2" t="s">
        <v>742</v>
      </c>
      <c r="B498" s="2" t="s">
        <v>1278</v>
      </c>
    </row>
    <row r="499" spans="1:2" x14ac:dyDescent="0.3">
      <c r="A499" s="2" t="s">
        <v>743</v>
      </c>
      <c r="B499" s="2" t="s">
        <v>1278</v>
      </c>
    </row>
    <row r="500" spans="1:2" x14ac:dyDescent="0.3">
      <c r="A500" s="2" t="s">
        <v>744</v>
      </c>
      <c r="B500" s="2" t="s">
        <v>1279</v>
      </c>
    </row>
    <row r="501" spans="1:2" x14ac:dyDescent="0.3">
      <c r="A501" s="2" t="s">
        <v>745</v>
      </c>
      <c r="B501" s="2" t="s">
        <v>1278</v>
      </c>
    </row>
    <row r="502" spans="1:2" x14ac:dyDescent="0.3">
      <c r="A502" s="2" t="s">
        <v>746</v>
      </c>
      <c r="B502" s="2" t="s">
        <v>1278</v>
      </c>
    </row>
    <row r="503" spans="1:2" x14ac:dyDescent="0.3">
      <c r="A503" s="2" t="s">
        <v>747</v>
      </c>
      <c r="B503" s="2" t="s">
        <v>1278</v>
      </c>
    </row>
    <row r="504" spans="1:2" x14ac:dyDescent="0.3">
      <c r="A504" s="2" t="s">
        <v>748</v>
      </c>
      <c r="B504" s="2" t="s">
        <v>1278</v>
      </c>
    </row>
    <row r="505" spans="1:2" x14ac:dyDescent="0.3">
      <c r="A505" s="2" t="s">
        <v>749</v>
      </c>
      <c r="B505" s="2" t="s">
        <v>1278</v>
      </c>
    </row>
    <row r="506" spans="1:2" x14ac:dyDescent="0.3">
      <c r="A506" s="2" t="s">
        <v>750</v>
      </c>
      <c r="B506" s="2" t="s">
        <v>1278</v>
      </c>
    </row>
    <row r="507" spans="1:2" x14ac:dyDescent="0.3">
      <c r="A507" s="2" t="s">
        <v>751</v>
      </c>
      <c r="B507" s="2" t="s">
        <v>1279</v>
      </c>
    </row>
    <row r="508" spans="1:2" x14ac:dyDescent="0.3">
      <c r="A508" s="2" t="s">
        <v>752</v>
      </c>
      <c r="B508" s="2" t="s">
        <v>1278</v>
      </c>
    </row>
    <row r="509" spans="1:2" x14ac:dyDescent="0.3">
      <c r="A509" s="2" t="s">
        <v>753</v>
      </c>
      <c r="B509" s="2" t="s">
        <v>1278</v>
      </c>
    </row>
    <row r="510" spans="1:2" x14ac:dyDescent="0.3">
      <c r="A510" s="2" t="s">
        <v>754</v>
      </c>
      <c r="B510" s="2" t="s">
        <v>1278</v>
      </c>
    </row>
    <row r="511" spans="1:2" x14ac:dyDescent="0.3">
      <c r="A511" s="2" t="s">
        <v>755</v>
      </c>
      <c r="B511" s="2" t="s">
        <v>1278</v>
      </c>
    </row>
    <row r="512" spans="1:2" x14ac:dyDescent="0.3">
      <c r="A512" s="2" t="s">
        <v>756</v>
      </c>
      <c r="B512" s="2" t="s">
        <v>1278</v>
      </c>
    </row>
    <row r="513" spans="1:2" x14ac:dyDescent="0.3">
      <c r="A513" s="2" t="s">
        <v>757</v>
      </c>
      <c r="B513" s="2" t="s">
        <v>1278</v>
      </c>
    </row>
    <row r="514" spans="1:2" x14ac:dyDescent="0.3">
      <c r="A514" s="2" t="s">
        <v>758</v>
      </c>
      <c r="B514" s="2" t="s">
        <v>1278</v>
      </c>
    </row>
    <row r="515" spans="1:2" x14ac:dyDescent="0.3">
      <c r="A515" s="2" t="s">
        <v>759</v>
      </c>
      <c r="B515" s="2" t="s">
        <v>1278</v>
      </c>
    </row>
    <row r="516" spans="1:2" x14ac:dyDescent="0.3">
      <c r="A516" s="2" t="s">
        <v>760</v>
      </c>
      <c r="B516" s="2" t="s">
        <v>1278</v>
      </c>
    </row>
    <row r="517" spans="1:2" x14ac:dyDescent="0.3">
      <c r="A517" s="2" t="s">
        <v>761</v>
      </c>
      <c r="B517" s="2" t="s">
        <v>1279</v>
      </c>
    </row>
    <row r="518" spans="1:2" x14ac:dyDescent="0.3">
      <c r="A518" s="2" t="s">
        <v>762</v>
      </c>
      <c r="B518" s="2" t="s">
        <v>1278</v>
      </c>
    </row>
    <row r="519" spans="1:2" x14ac:dyDescent="0.3">
      <c r="A519" s="2" t="s">
        <v>763</v>
      </c>
      <c r="B519" s="2" t="s">
        <v>1278</v>
      </c>
    </row>
    <row r="520" spans="1:2" x14ac:dyDescent="0.3">
      <c r="A520" s="2" t="s">
        <v>764</v>
      </c>
      <c r="B520" s="2" t="s">
        <v>1278</v>
      </c>
    </row>
    <row r="521" spans="1:2" x14ac:dyDescent="0.3">
      <c r="A521" s="2" t="s">
        <v>765</v>
      </c>
      <c r="B521" s="2" t="s">
        <v>1278</v>
      </c>
    </row>
    <row r="522" spans="1:2" x14ac:dyDescent="0.3">
      <c r="A522" s="2" t="s">
        <v>766</v>
      </c>
      <c r="B522" s="2" t="s">
        <v>1278</v>
      </c>
    </row>
    <row r="523" spans="1:2" x14ac:dyDescent="0.3">
      <c r="A523" s="2" t="s">
        <v>767</v>
      </c>
      <c r="B523" s="2" t="s">
        <v>1278</v>
      </c>
    </row>
    <row r="524" spans="1:2" x14ac:dyDescent="0.3">
      <c r="A524" s="2" t="s">
        <v>768</v>
      </c>
      <c r="B524" s="2" t="s">
        <v>1278</v>
      </c>
    </row>
    <row r="525" spans="1:2" x14ac:dyDescent="0.3">
      <c r="A525" s="2" t="s">
        <v>769</v>
      </c>
      <c r="B525" s="2" t="s">
        <v>1278</v>
      </c>
    </row>
    <row r="526" spans="1:2" x14ac:dyDescent="0.3">
      <c r="A526" s="2" t="s">
        <v>770</v>
      </c>
      <c r="B526" s="2" t="s">
        <v>1278</v>
      </c>
    </row>
    <row r="527" spans="1:2" x14ac:dyDescent="0.3">
      <c r="A527" s="2" t="s">
        <v>771</v>
      </c>
      <c r="B527" s="2" t="s">
        <v>1278</v>
      </c>
    </row>
    <row r="528" spans="1:2" x14ac:dyDescent="0.3">
      <c r="A528" s="2" t="s">
        <v>772</v>
      </c>
      <c r="B528" s="2" t="s">
        <v>1278</v>
      </c>
    </row>
    <row r="529" spans="1:2" x14ac:dyDescent="0.3">
      <c r="A529" s="2" t="s">
        <v>773</v>
      </c>
      <c r="B529" s="2" t="s">
        <v>1278</v>
      </c>
    </row>
    <row r="530" spans="1:2" x14ac:dyDescent="0.3">
      <c r="A530" s="2" t="s">
        <v>774</v>
      </c>
      <c r="B530" s="2" t="s">
        <v>1278</v>
      </c>
    </row>
    <row r="531" spans="1:2" x14ac:dyDescent="0.3">
      <c r="A531" s="2" t="s">
        <v>775</v>
      </c>
      <c r="B531" s="2" t="s">
        <v>1278</v>
      </c>
    </row>
    <row r="532" spans="1:2" x14ac:dyDescent="0.3">
      <c r="A532" s="2" t="s">
        <v>776</v>
      </c>
      <c r="B532" s="2" t="s">
        <v>1278</v>
      </c>
    </row>
    <row r="533" spans="1:2" x14ac:dyDescent="0.3">
      <c r="A533" s="2" t="s">
        <v>777</v>
      </c>
      <c r="B533" s="2" t="s">
        <v>1278</v>
      </c>
    </row>
    <row r="534" spans="1:2" x14ac:dyDescent="0.3">
      <c r="A534" s="2" t="s">
        <v>778</v>
      </c>
      <c r="B534" s="2" t="s">
        <v>1278</v>
      </c>
    </row>
    <row r="535" spans="1:2" x14ac:dyDescent="0.3">
      <c r="A535" s="2" t="s">
        <v>779</v>
      </c>
      <c r="B535" s="2" t="s">
        <v>1278</v>
      </c>
    </row>
    <row r="536" spans="1:2" x14ac:dyDescent="0.3">
      <c r="A536" s="2" t="s">
        <v>780</v>
      </c>
      <c r="B536" s="2" t="s">
        <v>1278</v>
      </c>
    </row>
    <row r="537" spans="1:2" x14ac:dyDescent="0.3">
      <c r="A537" s="2" t="s">
        <v>781</v>
      </c>
      <c r="B537" s="2" t="s">
        <v>1278</v>
      </c>
    </row>
    <row r="538" spans="1:2" x14ac:dyDescent="0.3">
      <c r="A538" s="2" t="s">
        <v>782</v>
      </c>
      <c r="B538" s="2" t="s">
        <v>1278</v>
      </c>
    </row>
    <row r="539" spans="1:2" x14ac:dyDescent="0.3">
      <c r="A539" s="2" t="s">
        <v>783</v>
      </c>
      <c r="B539" s="2" t="s">
        <v>1278</v>
      </c>
    </row>
    <row r="540" spans="1:2" x14ac:dyDescent="0.3">
      <c r="A540" s="2" t="s">
        <v>784</v>
      </c>
      <c r="B540" s="2" t="s">
        <v>1278</v>
      </c>
    </row>
    <row r="541" spans="1:2" x14ac:dyDescent="0.3">
      <c r="A541" s="2" t="s">
        <v>785</v>
      </c>
      <c r="B541" s="2" t="s">
        <v>1278</v>
      </c>
    </row>
    <row r="542" spans="1:2" x14ac:dyDescent="0.3">
      <c r="A542" s="2" t="s">
        <v>786</v>
      </c>
      <c r="B542" s="2" t="s">
        <v>1279</v>
      </c>
    </row>
    <row r="543" spans="1:2" x14ac:dyDescent="0.3">
      <c r="A543" s="2" t="s">
        <v>787</v>
      </c>
      <c r="B543" s="2" t="s">
        <v>1278</v>
      </c>
    </row>
    <row r="544" spans="1:2" x14ac:dyDescent="0.3">
      <c r="A544" s="2" t="s">
        <v>788</v>
      </c>
      <c r="B544" s="2" t="s">
        <v>1278</v>
      </c>
    </row>
    <row r="545" spans="1:2" x14ac:dyDescent="0.3">
      <c r="A545" s="2" t="s">
        <v>789</v>
      </c>
      <c r="B545" s="2" t="s">
        <v>1279</v>
      </c>
    </row>
    <row r="546" spans="1:2" x14ac:dyDescent="0.3">
      <c r="A546" s="2" t="s">
        <v>790</v>
      </c>
      <c r="B546" s="2" t="s">
        <v>1278</v>
      </c>
    </row>
    <row r="547" spans="1:2" x14ac:dyDescent="0.3">
      <c r="A547" s="2" t="s">
        <v>791</v>
      </c>
      <c r="B547" s="2" t="s">
        <v>1278</v>
      </c>
    </row>
    <row r="548" spans="1:2" x14ac:dyDescent="0.3">
      <c r="A548" s="2" t="s">
        <v>792</v>
      </c>
      <c r="B548" s="2" t="s">
        <v>1279</v>
      </c>
    </row>
    <row r="549" spans="1:2" x14ac:dyDescent="0.3">
      <c r="A549" s="2" t="s">
        <v>793</v>
      </c>
      <c r="B549" s="2" t="s">
        <v>1278</v>
      </c>
    </row>
    <row r="550" spans="1:2" x14ac:dyDescent="0.3">
      <c r="A550" s="2" t="s">
        <v>794</v>
      </c>
      <c r="B550" s="2" t="s">
        <v>1278</v>
      </c>
    </row>
    <row r="551" spans="1:2" x14ac:dyDescent="0.3">
      <c r="A551" s="2" t="s">
        <v>795</v>
      </c>
      <c r="B551" s="2" t="s">
        <v>1279</v>
      </c>
    </row>
    <row r="552" spans="1:2" x14ac:dyDescent="0.3">
      <c r="A552" s="2" t="s">
        <v>796</v>
      </c>
      <c r="B552" s="2" t="s">
        <v>1278</v>
      </c>
    </row>
    <row r="553" spans="1:2" x14ac:dyDescent="0.3">
      <c r="A553" s="2" t="s">
        <v>797</v>
      </c>
      <c r="B553" s="2" t="s">
        <v>1278</v>
      </c>
    </row>
    <row r="554" spans="1:2" x14ac:dyDescent="0.3">
      <c r="A554" s="2" t="s">
        <v>798</v>
      </c>
      <c r="B554" s="2" t="s">
        <v>1278</v>
      </c>
    </row>
    <row r="555" spans="1:2" x14ac:dyDescent="0.3">
      <c r="A555" s="2" t="s">
        <v>799</v>
      </c>
      <c r="B555" s="2" t="s">
        <v>1278</v>
      </c>
    </row>
    <row r="556" spans="1:2" x14ac:dyDescent="0.3">
      <c r="A556" s="2" t="s">
        <v>800</v>
      </c>
      <c r="B556" s="2" t="s">
        <v>1278</v>
      </c>
    </row>
    <row r="557" spans="1:2" x14ac:dyDescent="0.3">
      <c r="A557" s="2" t="s">
        <v>801</v>
      </c>
      <c r="B557" s="2" t="s">
        <v>1278</v>
      </c>
    </row>
    <row r="558" spans="1:2" x14ac:dyDescent="0.3">
      <c r="A558" s="2" t="s">
        <v>802</v>
      </c>
      <c r="B558" s="2" t="s">
        <v>1279</v>
      </c>
    </row>
    <row r="559" spans="1:2" x14ac:dyDescent="0.3">
      <c r="A559" s="2" t="s">
        <v>803</v>
      </c>
      <c r="B559" s="2" t="s">
        <v>1278</v>
      </c>
    </row>
    <row r="560" spans="1:2" x14ac:dyDescent="0.3">
      <c r="A560" s="2" t="s">
        <v>804</v>
      </c>
      <c r="B560" s="2" t="s">
        <v>1278</v>
      </c>
    </row>
    <row r="561" spans="1:2" x14ac:dyDescent="0.3">
      <c r="A561" s="2" t="s">
        <v>805</v>
      </c>
      <c r="B561" s="2" t="s">
        <v>1278</v>
      </c>
    </row>
    <row r="562" spans="1:2" x14ac:dyDescent="0.3">
      <c r="A562" s="2" t="s">
        <v>806</v>
      </c>
      <c r="B562" s="2" t="s">
        <v>1278</v>
      </c>
    </row>
    <row r="563" spans="1:2" x14ac:dyDescent="0.3">
      <c r="A563" s="2" t="s">
        <v>807</v>
      </c>
      <c r="B563" s="2" t="s">
        <v>1278</v>
      </c>
    </row>
    <row r="564" spans="1:2" x14ac:dyDescent="0.3">
      <c r="A564" s="2" t="s">
        <v>808</v>
      </c>
      <c r="B564" s="2" t="s">
        <v>1279</v>
      </c>
    </row>
    <row r="565" spans="1:2" x14ac:dyDescent="0.3">
      <c r="A565" s="2" t="s">
        <v>809</v>
      </c>
      <c r="B565" s="2" t="s">
        <v>1278</v>
      </c>
    </row>
    <row r="566" spans="1:2" x14ac:dyDescent="0.3">
      <c r="A566" s="2" t="s">
        <v>810</v>
      </c>
      <c r="B566" s="2" t="s">
        <v>1278</v>
      </c>
    </row>
    <row r="567" spans="1:2" x14ac:dyDescent="0.3">
      <c r="A567" s="2" t="s">
        <v>811</v>
      </c>
      <c r="B567" s="2" t="s">
        <v>1278</v>
      </c>
    </row>
    <row r="568" spans="1:2" x14ac:dyDescent="0.3">
      <c r="A568" s="2" t="s">
        <v>812</v>
      </c>
      <c r="B568" s="2" t="s">
        <v>1279</v>
      </c>
    </row>
    <row r="569" spans="1:2" x14ac:dyDescent="0.3">
      <c r="A569" s="2" t="s">
        <v>813</v>
      </c>
      <c r="B569" s="2" t="s">
        <v>1278</v>
      </c>
    </row>
    <row r="570" spans="1:2" x14ac:dyDescent="0.3">
      <c r="A570" s="2" t="s">
        <v>814</v>
      </c>
      <c r="B570" s="2" t="s">
        <v>1278</v>
      </c>
    </row>
    <row r="571" spans="1:2" x14ac:dyDescent="0.3">
      <c r="A571" s="2" t="s">
        <v>815</v>
      </c>
      <c r="B571" s="2" t="s">
        <v>1279</v>
      </c>
    </row>
    <row r="572" spans="1:2" x14ac:dyDescent="0.3">
      <c r="A572" s="2" t="s">
        <v>816</v>
      </c>
      <c r="B572" s="2" t="s">
        <v>1278</v>
      </c>
    </row>
    <row r="573" spans="1:2" x14ac:dyDescent="0.3">
      <c r="A573" s="2" t="s">
        <v>817</v>
      </c>
      <c r="B573" s="2" t="s">
        <v>1278</v>
      </c>
    </row>
    <row r="574" spans="1:2" x14ac:dyDescent="0.3">
      <c r="A574" s="2" t="s">
        <v>818</v>
      </c>
      <c r="B574" s="2" t="s">
        <v>1278</v>
      </c>
    </row>
    <row r="575" spans="1:2" x14ac:dyDescent="0.3">
      <c r="A575" s="2" t="s">
        <v>819</v>
      </c>
      <c r="B575" s="2" t="s">
        <v>1278</v>
      </c>
    </row>
    <row r="576" spans="1:2" x14ac:dyDescent="0.3">
      <c r="A576" s="2" t="s">
        <v>820</v>
      </c>
      <c r="B576" s="2" t="s">
        <v>1278</v>
      </c>
    </row>
    <row r="577" spans="1:2" x14ac:dyDescent="0.3">
      <c r="A577" s="2" t="s">
        <v>821</v>
      </c>
      <c r="B577" s="2" t="s">
        <v>1278</v>
      </c>
    </row>
    <row r="578" spans="1:2" x14ac:dyDescent="0.3">
      <c r="A578" s="2" t="s">
        <v>822</v>
      </c>
      <c r="B578" s="2" t="s">
        <v>1278</v>
      </c>
    </row>
    <row r="579" spans="1:2" x14ac:dyDescent="0.3">
      <c r="A579" s="2" t="s">
        <v>823</v>
      </c>
      <c r="B579" s="2" t="s">
        <v>1278</v>
      </c>
    </row>
    <row r="580" spans="1:2" x14ac:dyDescent="0.3">
      <c r="A580" s="2" t="s">
        <v>824</v>
      </c>
      <c r="B580" s="2" t="s">
        <v>1279</v>
      </c>
    </row>
    <row r="581" spans="1:2" x14ac:dyDescent="0.3">
      <c r="A581" s="2" t="s">
        <v>825</v>
      </c>
      <c r="B581" s="2" t="s">
        <v>1278</v>
      </c>
    </row>
    <row r="582" spans="1:2" x14ac:dyDescent="0.3">
      <c r="A582" s="2" t="s">
        <v>826</v>
      </c>
      <c r="B582" s="2" t="s">
        <v>1278</v>
      </c>
    </row>
    <row r="583" spans="1:2" x14ac:dyDescent="0.3">
      <c r="A583" s="2" t="s">
        <v>827</v>
      </c>
      <c r="B583" s="2" t="s">
        <v>1278</v>
      </c>
    </row>
    <row r="584" spans="1:2" x14ac:dyDescent="0.3">
      <c r="A584" s="2" t="s">
        <v>828</v>
      </c>
      <c r="B584" s="2" t="s">
        <v>1278</v>
      </c>
    </row>
    <row r="585" spans="1:2" x14ac:dyDescent="0.3">
      <c r="A585" s="2" t="s">
        <v>829</v>
      </c>
      <c r="B585" s="2" t="s">
        <v>1278</v>
      </c>
    </row>
    <row r="586" spans="1:2" x14ac:dyDescent="0.3">
      <c r="A586" s="2" t="s">
        <v>830</v>
      </c>
      <c r="B586" s="2" t="s">
        <v>1278</v>
      </c>
    </row>
    <row r="587" spans="1:2" x14ac:dyDescent="0.3">
      <c r="A587" s="2" t="s">
        <v>831</v>
      </c>
      <c r="B587" s="2" t="s">
        <v>1278</v>
      </c>
    </row>
    <row r="588" spans="1:2" x14ac:dyDescent="0.3">
      <c r="A588" s="2" t="s">
        <v>832</v>
      </c>
      <c r="B588" s="2" t="s">
        <v>1278</v>
      </c>
    </row>
    <row r="589" spans="1:2" x14ac:dyDescent="0.3">
      <c r="A589" s="2" t="s">
        <v>833</v>
      </c>
      <c r="B589" s="2" t="s">
        <v>1278</v>
      </c>
    </row>
    <row r="590" spans="1:2" x14ac:dyDescent="0.3">
      <c r="A590" s="2" t="s">
        <v>834</v>
      </c>
      <c r="B590" s="2" t="s">
        <v>1278</v>
      </c>
    </row>
    <row r="591" spans="1:2" x14ac:dyDescent="0.3">
      <c r="A591" s="2" t="s">
        <v>835</v>
      </c>
      <c r="B591" s="2" t="s">
        <v>1278</v>
      </c>
    </row>
    <row r="592" spans="1:2" x14ac:dyDescent="0.3">
      <c r="A592" s="2" t="s">
        <v>836</v>
      </c>
      <c r="B592" s="2" t="s">
        <v>1278</v>
      </c>
    </row>
    <row r="593" spans="1:2" x14ac:dyDescent="0.3">
      <c r="A593" s="2" t="s">
        <v>837</v>
      </c>
      <c r="B593" s="2" t="s">
        <v>1279</v>
      </c>
    </row>
    <row r="594" spans="1:2" x14ac:dyDescent="0.3">
      <c r="A594" s="2" t="s">
        <v>838</v>
      </c>
      <c r="B594" s="2" t="s">
        <v>1278</v>
      </c>
    </row>
    <row r="595" spans="1:2" x14ac:dyDescent="0.3">
      <c r="A595" s="2" t="s">
        <v>839</v>
      </c>
      <c r="B595" s="2" t="s">
        <v>1278</v>
      </c>
    </row>
    <row r="596" spans="1:2" x14ac:dyDescent="0.3">
      <c r="A596" s="2" t="s">
        <v>840</v>
      </c>
      <c r="B596" s="2" t="s">
        <v>1279</v>
      </c>
    </row>
    <row r="597" spans="1:2" x14ac:dyDescent="0.3">
      <c r="A597" s="2" t="s">
        <v>841</v>
      </c>
      <c r="B597" s="2" t="s">
        <v>1278</v>
      </c>
    </row>
    <row r="598" spans="1:2" x14ac:dyDescent="0.3">
      <c r="A598" s="2" t="s">
        <v>842</v>
      </c>
      <c r="B598" s="2" t="s">
        <v>1278</v>
      </c>
    </row>
    <row r="599" spans="1:2" x14ac:dyDescent="0.3">
      <c r="A599" s="2" t="s">
        <v>843</v>
      </c>
      <c r="B599" s="2" t="s">
        <v>1278</v>
      </c>
    </row>
    <row r="600" spans="1:2" x14ac:dyDescent="0.3">
      <c r="A600" s="2" t="s">
        <v>844</v>
      </c>
      <c r="B600" s="2" t="s">
        <v>1278</v>
      </c>
    </row>
    <row r="601" spans="1:2" x14ac:dyDescent="0.3">
      <c r="A601" s="2" t="s">
        <v>845</v>
      </c>
      <c r="B601" s="2" t="s">
        <v>1278</v>
      </c>
    </row>
    <row r="602" spans="1:2" x14ac:dyDescent="0.3">
      <c r="A602" s="2" t="s">
        <v>846</v>
      </c>
      <c r="B602" s="2" t="s">
        <v>1279</v>
      </c>
    </row>
    <row r="603" spans="1:2" x14ac:dyDescent="0.3">
      <c r="A603" s="2" t="s">
        <v>847</v>
      </c>
      <c r="B603" s="2" t="s">
        <v>1278</v>
      </c>
    </row>
    <row r="604" spans="1:2" x14ac:dyDescent="0.3">
      <c r="A604" s="2" t="s">
        <v>848</v>
      </c>
      <c r="B604" s="2" t="s">
        <v>1278</v>
      </c>
    </row>
    <row r="605" spans="1:2" x14ac:dyDescent="0.3">
      <c r="A605" s="2" t="s">
        <v>849</v>
      </c>
      <c r="B605" s="2" t="s">
        <v>1278</v>
      </c>
    </row>
    <row r="606" spans="1:2" x14ac:dyDescent="0.3">
      <c r="A606" s="2" t="s">
        <v>850</v>
      </c>
      <c r="B606" s="2" t="s">
        <v>1278</v>
      </c>
    </row>
    <row r="607" spans="1:2" x14ac:dyDescent="0.3">
      <c r="A607" s="2" t="s">
        <v>851</v>
      </c>
      <c r="B607" s="2" t="s">
        <v>1278</v>
      </c>
    </row>
    <row r="608" spans="1:2" x14ac:dyDescent="0.3">
      <c r="A608" s="2" t="s">
        <v>852</v>
      </c>
      <c r="B608" s="2" t="s">
        <v>1279</v>
      </c>
    </row>
    <row r="609" spans="1:2" x14ac:dyDescent="0.3">
      <c r="A609" s="2" t="s">
        <v>853</v>
      </c>
      <c r="B609" s="2" t="s">
        <v>1278</v>
      </c>
    </row>
    <row r="610" spans="1:2" x14ac:dyDescent="0.3">
      <c r="A610" s="2" t="s">
        <v>854</v>
      </c>
      <c r="B610" s="2" t="s">
        <v>1278</v>
      </c>
    </row>
    <row r="611" spans="1:2" x14ac:dyDescent="0.3">
      <c r="A611" s="2" t="s">
        <v>855</v>
      </c>
      <c r="B611" s="2" t="s">
        <v>1279</v>
      </c>
    </row>
    <row r="612" spans="1:2" x14ac:dyDescent="0.3">
      <c r="A612" s="2" t="s">
        <v>856</v>
      </c>
      <c r="B612" s="2" t="s">
        <v>1278</v>
      </c>
    </row>
    <row r="613" spans="1:2" x14ac:dyDescent="0.3">
      <c r="A613" s="2" t="s">
        <v>857</v>
      </c>
      <c r="B613" s="2" t="s">
        <v>1278</v>
      </c>
    </row>
    <row r="614" spans="1:2" x14ac:dyDescent="0.3">
      <c r="A614" s="2" t="s">
        <v>858</v>
      </c>
      <c r="B614" s="2" t="s">
        <v>1278</v>
      </c>
    </row>
    <row r="615" spans="1:2" x14ac:dyDescent="0.3">
      <c r="A615" s="2" t="s">
        <v>859</v>
      </c>
      <c r="B615" s="2" t="s">
        <v>1278</v>
      </c>
    </row>
    <row r="616" spans="1:2" x14ac:dyDescent="0.3">
      <c r="A616" s="2" t="s">
        <v>860</v>
      </c>
      <c r="B616" s="2" t="s">
        <v>1278</v>
      </c>
    </row>
    <row r="617" spans="1:2" x14ac:dyDescent="0.3">
      <c r="A617" s="2" t="s">
        <v>861</v>
      </c>
      <c r="B617" s="2" t="s">
        <v>1278</v>
      </c>
    </row>
    <row r="618" spans="1:2" x14ac:dyDescent="0.3">
      <c r="A618" s="2" t="s">
        <v>862</v>
      </c>
      <c r="B618" s="2" t="s">
        <v>1278</v>
      </c>
    </row>
    <row r="619" spans="1:2" x14ac:dyDescent="0.3">
      <c r="A619" s="2" t="s">
        <v>863</v>
      </c>
      <c r="B619" s="2" t="s">
        <v>1278</v>
      </c>
    </row>
    <row r="620" spans="1:2" x14ac:dyDescent="0.3">
      <c r="A620" s="2" t="s">
        <v>864</v>
      </c>
      <c r="B620" s="2" t="s">
        <v>1278</v>
      </c>
    </row>
    <row r="621" spans="1:2" x14ac:dyDescent="0.3">
      <c r="A621" s="2" t="s">
        <v>865</v>
      </c>
      <c r="B621" s="2" t="s">
        <v>1278</v>
      </c>
    </row>
    <row r="622" spans="1:2" x14ac:dyDescent="0.3">
      <c r="A622" s="2" t="s">
        <v>866</v>
      </c>
      <c r="B622" s="2" t="s">
        <v>1278</v>
      </c>
    </row>
    <row r="623" spans="1:2" x14ac:dyDescent="0.3">
      <c r="A623" s="2" t="s">
        <v>867</v>
      </c>
      <c r="B623" s="2" t="s">
        <v>1279</v>
      </c>
    </row>
    <row r="624" spans="1:2" x14ac:dyDescent="0.3">
      <c r="A624" s="2" t="s">
        <v>868</v>
      </c>
      <c r="B624" s="2" t="s">
        <v>1278</v>
      </c>
    </row>
    <row r="625" spans="1:2" x14ac:dyDescent="0.3">
      <c r="A625" s="2" t="s">
        <v>869</v>
      </c>
      <c r="B625" s="2" t="s">
        <v>1278</v>
      </c>
    </row>
    <row r="626" spans="1:2" x14ac:dyDescent="0.3">
      <c r="A626" s="2" t="s">
        <v>870</v>
      </c>
      <c r="B626" s="2" t="s">
        <v>1278</v>
      </c>
    </row>
    <row r="627" spans="1:2" x14ac:dyDescent="0.3">
      <c r="A627" s="2" t="s">
        <v>871</v>
      </c>
      <c r="B627" s="2" t="s">
        <v>1278</v>
      </c>
    </row>
    <row r="628" spans="1:2" x14ac:dyDescent="0.3">
      <c r="A628" s="2" t="s">
        <v>872</v>
      </c>
      <c r="B628" s="2" t="s">
        <v>1278</v>
      </c>
    </row>
    <row r="629" spans="1:2" x14ac:dyDescent="0.3">
      <c r="A629" s="2" t="s">
        <v>873</v>
      </c>
      <c r="B629" s="2" t="s">
        <v>1278</v>
      </c>
    </row>
    <row r="630" spans="1:2" x14ac:dyDescent="0.3">
      <c r="A630" s="2" t="s">
        <v>874</v>
      </c>
      <c r="B630" s="2" t="s">
        <v>1279</v>
      </c>
    </row>
    <row r="631" spans="1:2" x14ac:dyDescent="0.3">
      <c r="A631" s="2" t="s">
        <v>875</v>
      </c>
      <c r="B631" s="2" t="s">
        <v>1279</v>
      </c>
    </row>
    <row r="632" spans="1:2" x14ac:dyDescent="0.3">
      <c r="A632" s="2" t="s">
        <v>876</v>
      </c>
      <c r="B632" s="2" t="s">
        <v>1278</v>
      </c>
    </row>
    <row r="633" spans="1:2" x14ac:dyDescent="0.3">
      <c r="A633" s="2" t="s">
        <v>877</v>
      </c>
      <c r="B633" s="2" t="s">
        <v>1278</v>
      </c>
    </row>
    <row r="634" spans="1:2" x14ac:dyDescent="0.3">
      <c r="A634" s="2" t="s">
        <v>878</v>
      </c>
      <c r="B634" s="2" t="s">
        <v>1278</v>
      </c>
    </row>
    <row r="635" spans="1:2" x14ac:dyDescent="0.3">
      <c r="A635" s="2" t="s">
        <v>879</v>
      </c>
      <c r="B635" s="2" t="s">
        <v>1278</v>
      </c>
    </row>
    <row r="636" spans="1:2" x14ac:dyDescent="0.3">
      <c r="A636" s="2" t="s">
        <v>880</v>
      </c>
      <c r="B636" s="2" t="s">
        <v>1278</v>
      </c>
    </row>
    <row r="637" spans="1:2" x14ac:dyDescent="0.3">
      <c r="A637" s="2" t="s">
        <v>881</v>
      </c>
      <c r="B637" s="2" t="s">
        <v>1278</v>
      </c>
    </row>
    <row r="638" spans="1:2" x14ac:dyDescent="0.3">
      <c r="A638" s="2" t="s">
        <v>882</v>
      </c>
      <c r="B638" s="2" t="s">
        <v>1278</v>
      </c>
    </row>
    <row r="639" spans="1:2" x14ac:dyDescent="0.3">
      <c r="A639" s="2" t="s">
        <v>883</v>
      </c>
      <c r="B639" s="2" t="s">
        <v>1279</v>
      </c>
    </row>
    <row r="640" spans="1:2" x14ac:dyDescent="0.3">
      <c r="A640" s="2" t="s">
        <v>884</v>
      </c>
      <c r="B640" s="2" t="s">
        <v>1278</v>
      </c>
    </row>
    <row r="641" spans="1:2" x14ac:dyDescent="0.3">
      <c r="A641" s="2" t="s">
        <v>885</v>
      </c>
      <c r="B641" s="2" t="s">
        <v>1278</v>
      </c>
    </row>
    <row r="642" spans="1:2" x14ac:dyDescent="0.3">
      <c r="A642" s="2" t="s">
        <v>886</v>
      </c>
      <c r="B642" s="2" t="s">
        <v>1278</v>
      </c>
    </row>
    <row r="643" spans="1:2" x14ac:dyDescent="0.3">
      <c r="A643" s="2" t="s">
        <v>887</v>
      </c>
      <c r="B643" s="2" t="s">
        <v>1278</v>
      </c>
    </row>
    <row r="644" spans="1:2" x14ac:dyDescent="0.3">
      <c r="A644" s="2" t="s">
        <v>888</v>
      </c>
      <c r="B644" s="2" t="s">
        <v>1278</v>
      </c>
    </row>
    <row r="645" spans="1:2" x14ac:dyDescent="0.3">
      <c r="A645" s="2" t="s">
        <v>889</v>
      </c>
      <c r="B645" s="2" t="s">
        <v>1278</v>
      </c>
    </row>
    <row r="646" spans="1:2" x14ac:dyDescent="0.3">
      <c r="A646" s="2" t="s">
        <v>890</v>
      </c>
      <c r="B646" s="2" t="s">
        <v>1278</v>
      </c>
    </row>
    <row r="647" spans="1:2" x14ac:dyDescent="0.3">
      <c r="A647" s="2" t="s">
        <v>891</v>
      </c>
      <c r="B647" s="2" t="s">
        <v>1279</v>
      </c>
    </row>
    <row r="648" spans="1:2" x14ac:dyDescent="0.3">
      <c r="A648" s="2" t="s">
        <v>892</v>
      </c>
      <c r="B648" s="2" t="s">
        <v>1278</v>
      </c>
    </row>
    <row r="649" spans="1:2" x14ac:dyDescent="0.3">
      <c r="A649" s="2" t="s">
        <v>893</v>
      </c>
      <c r="B649" s="2" t="s">
        <v>1278</v>
      </c>
    </row>
    <row r="650" spans="1:2" x14ac:dyDescent="0.3">
      <c r="A650" s="2" t="s">
        <v>894</v>
      </c>
      <c r="B650" s="2" t="s">
        <v>1278</v>
      </c>
    </row>
    <row r="651" spans="1:2" x14ac:dyDescent="0.3">
      <c r="A651" s="2" t="s">
        <v>895</v>
      </c>
      <c r="B651" s="2" t="s">
        <v>1279</v>
      </c>
    </row>
    <row r="652" spans="1:2" x14ac:dyDescent="0.3">
      <c r="A652" s="2" t="s">
        <v>896</v>
      </c>
      <c r="B652" s="2" t="s">
        <v>1279</v>
      </c>
    </row>
    <row r="653" spans="1:2" x14ac:dyDescent="0.3">
      <c r="A653" s="2" t="s">
        <v>897</v>
      </c>
      <c r="B653" s="2" t="s">
        <v>1278</v>
      </c>
    </row>
    <row r="654" spans="1:2" x14ac:dyDescent="0.3">
      <c r="A654" s="2" t="s">
        <v>898</v>
      </c>
      <c r="B654" s="2" t="s">
        <v>1278</v>
      </c>
    </row>
    <row r="655" spans="1:2" x14ac:dyDescent="0.3">
      <c r="A655" s="2" t="s">
        <v>899</v>
      </c>
      <c r="B655" s="2" t="s">
        <v>1278</v>
      </c>
    </row>
    <row r="656" spans="1:2" x14ac:dyDescent="0.3">
      <c r="A656" s="2" t="s">
        <v>900</v>
      </c>
      <c r="B656" s="2" t="s">
        <v>1278</v>
      </c>
    </row>
    <row r="657" spans="1:2" x14ac:dyDescent="0.3">
      <c r="A657" s="2" t="s">
        <v>901</v>
      </c>
      <c r="B657" s="2" t="s">
        <v>1278</v>
      </c>
    </row>
    <row r="658" spans="1:2" x14ac:dyDescent="0.3">
      <c r="A658" s="2" t="s">
        <v>902</v>
      </c>
      <c r="B658" s="2" t="s">
        <v>1278</v>
      </c>
    </row>
    <row r="659" spans="1:2" x14ac:dyDescent="0.3">
      <c r="A659" s="2" t="s">
        <v>903</v>
      </c>
      <c r="B659" s="2" t="s">
        <v>1278</v>
      </c>
    </row>
    <row r="660" spans="1:2" x14ac:dyDescent="0.3">
      <c r="A660" s="2" t="s">
        <v>904</v>
      </c>
      <c r="B660" s="2" t="s">
        <v>1278</v>
      </c>
    </row>
    <row r="661" spans="1:2" x14ac:dyDescent="0.3">
      <c r="A661" s="2" t="s">
        <v>905</v>
      </c>
      <c r="B661" s="2" t="s">
        <v>1278</v>
      </c>
    </row>
    <row r="662" spans="1:2" x14ac:dyDescent="0.3">
      <c r="A662" s="2" t="s">
        <v>906</v>
      </c>
      <c r="B662" s="2" t="s">
        <v>1278</v>
      </c>
    </row>
    <row r="663" spans="1:2" x14ac:dyDescent="0.3">
      <c r="A663" s="2" t="s">
        <v>907</v>
      </c>
      <c r="B663" s="2" t="s">
        <v>1278</v>
      </c>
    </row>
    <row r="664" spans="1:2" x14ac:dyDescent="0.3">
      <c r="A664" s="2" t="s">
        <v>908</v>
      </c>
      <c r="B664" s="2" t="s">
        <v>1278</v>
      </c>
    </row>
    <row r="665" spans="1:2" x14ac:dyDescent="0.3">
      <c r="A665" s="2" t="s">
        <v>909</v>
      </c>
      <c r="B665" s="2" t="s">
        <v>1278</v>
      </c>
    </row>
    <row r="666" spans="1:2" x14ac:dyDescent="0.3">
      <c r="A666" s="2" t="s">
        <v>910</v>
      </c>
      <c r="B666" s="2" t="s">
        <v>1278</v>
      </c>
    </row>
    <row r="667" spans="1:2" x14ac:dyDescent="0.3">
      <c r="A667" s="2" t="s">
        <v>911</v>
      </c>
      <c r="B667" s="2" t="s">
        <v>1279</v>
      </c>
    </row>
    <row r="668" spans="1:2" x14ac:dyDescent="0.3">
      <c r="A668" s="2" t="s">
        <v>912</v>
      </c>
      <c r="B668" s="2" t="s">
        <v>1279</v>
      </c>
    </row>
    <row r="669" spans="1:2" x14ac:dyDescent="0.3">
      <c r="A669" s="2" t="s">
        <v>913</v>
      </c>
      <c r="B669" s="2" t="s">
        <v>1278</v>
      </c>
    </row>
    <row r="670" spans="1:2" x14ac:dyDescent="0.3">
      <c r="A670" s="2" t="s">
        <v>914</v>
      </c>
      <c r="B670" s="2" t="s">
        <v>1278</v>
      </c>
    </row>
    <row r="671" spans="1:2" x14ac:dyDescent="0.3">
      <c r="A671" s="2" t="s">
        <v>915</v>
      </c>
      <c r="B671" s="2" t="s">
        <v>1278</v>
      </c>
    </row>
    <row r="672" spans="1:2" x14ac:dyDescent="0.3">
      <c r="A672" s="2" t="s">
        <v>916</v>
      </c>
      <c r="B672" s="2" t="s">
        <v>1278</v>
      </c>
    </row>
    <row r="673" spans="1:2" x14ac:dyDescent="0.3">
      <c r="A673" s="2" t="s">
        <v>917</v>
      </c>
      <c r="B673" s="2" t="s">
        <v>1278</v>
      </c>
    </row>
    <row r="674" spans="1:2" x14ac:dyDescent="0.3">
      <c r="A674" s="2" t="s">
        <v>918</v>
      </c>
      <c r="B674" s="2" t="s">
        <v>1278</v>
      </c>
    </row>
    <row r="675" spans="1:2" x14ac:dyDescent="0.3">
      <c r="A675" s="2" t="s">
        <v>919</v>
      </c>
      <c r="B675" s="2" t="s">
        <v>1278</v>
      </c>
    </row>
    <row r="676" spans="1:2" x14ac:dyDescent="0.3">
      <c r="A676" s="2" t="s">
        <v>920</v>
      </c>
      <c r="B676" s="2" t="s">
        <v>1278</v>
      </c>
    </row>
    <row r="677" spans="1:2" x14ac:dyDescent="0.3">
      <c r="A677" s="2" t="s">
        <v>921</v>
      </c>
      <c r="B677" s="2" t="s">
        <v>1278</v>
      </c>
    </row>
    <row r="678" spans="1:2" x14ac:dyDescent="0.3">
      <c r="A678" s="2" t="s">
        <v>922</v>
      </c>
      <c r="B678" s="2" t="s">
        <v>1278</v>
      </c>
    </row>
    <row r="679" spans="1:2" x14ac:dyDescent="0.3">
      <c r="A679" s="2" t="s">
        <v>923</v>
      </c>
      <c r="B679" s="2" t="s">
        <v>1278</v>
      </c>
    </row>
    <row r="680" spans="1:2" x14ac:dyDescent="0.3">
      <c r="A680" s="2" t="s">
        <v>924</v>
      </c>
      <c r="B680" s="2" t="s">
        <v>1278</v>
      </c>
    </row>
    <row r="681" spans="1:2" x14ac:dyDescent="0.3">
      <c r="A681" s="2" t="s">
        <v>925</v>
      </c>
      <c r="B681" s="2" t="s">
        <v>1278</v>
      </c>
    </row>
    <row r="682" spans="1:2" x14ac:dyDescent="0.3">
      <c r="A682" s="2" t="s">
        <v>926</v>
      </c>
      <c r="B682" s="2" t="s">
        <v>1278</v>
      </c>
    </row>
    <row r="683" spans="1:2" x14ac:dyDescent="0.3">
      <c r="A683" s="2" t="s">
        <v>927</v>
      </c>
      <c r="B683" s="2" t="s">
        <v>1278</v>
      </c>
    </row>
    <row r="684" spans="1:2" x14ac:dyDescent="0.3">
      <c r="A684" s="2" t="s">
        <v>928</v>
      </c>
      <c r="B684" s="2" t="s">
        <v>1278</v>
      </c>
    </row>
    <row r="685" spans="1:2" x14ac:dyDescent="0.3">
      <c r="A685" s="2" t="s">
        <v>929</v>
      </c>
      <c r="B685" s="2" t="s">
        <v>1278</v>
      </c>
    </row>
    <row r="686" spans="1:2" x14ac:dyDescent="0.3">
      <c r="A686" s="2" t="s">
        <v>930</v>
      </c>
      <c r="B686" s="2" t="s">
        <v>1278</v>
      </c>
    </row>
    <row r="687" spans="1:2" x14ac:dyDescent="0.3">
      <c r="A687" s="2" t="s">
        <v>931</v>
      </c>
      <c r="B687" s="2" t="s">
        <v>1278</v>
      </c>
    </row>
    <row r="688" spans="1:2" x14ac:dyDescent="0.3">
      <c r="A688" s="2" t="s">
        <v>932</v>
      </c>
      <c r="B688" s="2" t="s">
        <v>1278</v>
      </c>
    </row>
    <row r="689" spans="1:2" x14ac:dyDescent="0.3">
      <c r="A689" s="2" t="s">
        <v>933</v>
      </c>
      <c r="B689" s="2" t="s">
        <v>1278</v>
      </c>
    </row>
    <row r="690" spans="1:2" x14ac:dyDescent="0.3">
      <c r="A690" s="2" t="s">
        <v>934</v>
      </c>
      <c r="B690" s="2" t="s">
        <v>1278</v>
      </c>
    </row>
    <row r="691" spans="1:2" x14ac:dyDescent="0.3">
      <c r="A691" s="2" t="s">
        <v>935</v>
      </c>
      <c r="B691" s="2" t="s">
        <v>1278</v>
      </c>
    </row>
    <row r="692" spans="1:2" x14ac:dyDescent="0.3">
      <c r="A692" s="2" t="s">
        <v>936</v>
      </c>
      <c r="B692" s="2" t="s">
        <v>1278</v>
      </c>
    </row>
    <row r="693" spans="1:2" x14ac:dyDescent="0.3">
      <c r="A693" s="2" t="s">
        <v>937</v>
      </c>
      <c r="B693" s="2" t="s">
        <v>1278</v>
      </c>
    </row>
    <row r="694" spans="1:2" x14ac:dyDescent="0.3">
      <c r="A694" s="2" t="s">
        <v>938</v>
      </c>
      <c r="B694" s="2" t="s">
        <v>1278</v>
      </c>
    </row>
    <row r="695" spans="1:2" x14ac:dyDescent="0.3">
      <c r="A695" s="2" t="s">
        <v>939</v>
      </c>
      <c r="B695" s="2" t="s">
        <v>1278</v>
      </c>
    </row>
    <row r="696" spans="1:2" x14ac:dyDescent="0.3">
      <c r="A696" s="2" t="s">
        <v>940</v>
      </c>
      <c r="B696" s="2" t="s">
        <v>1278</v>
      </c>
    </row>
    <row r="697" spans="1:2" x14ac:dyDescent="0.3">
      <c r="A697" s="2" t="s">
        <v>941</v>
      </c>
      <c r="B697" s="2" t="s">
        <v>1278</v>
      </c>
    </row>
    <row r="698" spans="1:2" x14ac:dyDescent="0.3">
      <c r="A698" s="2" t="s">
        <v>942</v>
      </c>
      <c r="B698" s="2" t="s">
        <v>1278</v>
      </c>
    </row>
    <row r="699" spans="1:2" x14ac:dyDescent="0.3">
      <c r="A699" s="2" t="s">
        <v>943</v>
      </c>
      <c r="B699" s="2" t="s">
        <v>1278</v>
      </c>
    </row>
    <row r="700" spans="1:2" x14ac:dyDescent="0.3">
      <c r="A700" s="2" t="s">
        <v>944</v>
      </c>
      <c r="B700" s="2" t="s">
        <v>1278</v>
      </c>
    </row>
    <row r="701" spans="1:2" x14ac:dyDescent="0.3">
      <c r="A701" s="2" t="s">
        <v>945</v>
      </c>
      <c r="B701" s="2" t="s">
        <v>1278</v>
      </c>
    </row>
    <row r="702" spans="1:2" x14ac:dyDescent="0.3">
      <c r="A702" s="2" t="s">
        <v>946</v>
      </c>
      <c r="B702" s="2" t="s">
        <v>1278</v>
      </c>
    </row>
    <row r="703" spans="1:2" x14ac:dyDescent="0.3">
      <c r="A703" s="2" t="s">
        <v>947</v>
      </c>
      <c r="B703" s="2" t="s">
        <v>1278</v>
      </c>
    </row>
    <row r="704" spans="1:2" x14ac:dyDescent="0.3">
      <c r="A704" s="2" t="s">
        <v>948</v>
      </c>
      <c r="B704" s="2" t="s">
        <v>1278</v>
      </c>
    </row>
    <row r="705" spans="1:2" x14ac:dyDescent="0.3">
      <c r="A705" s="2" t="s">
        <v>949</v>
      </c>
      <c r="B705" s="2" t="s">
        <v>1278</v>
      </c>
    </row>
    <row r="706" spans="1:2" x14ac:dyDescent="0.3">
      <c r="A706" s="2" t="s">
        <v>950</v>
      </c>
      <c r="B706" s="2" t="s">
        <v>1278</v>
      </c>
    </row>
    <row r="707" spans="1:2" x14ac:dyDescent="0.3">
      <c r="A707" s="2" t="s">
        <v>951</v>
      </c>
      <c r="B707" s="2" t="s">
        <v>1278</v>
      </c>
    </row>
    <row r="708" spans="1:2" x14ac:dyDescent="0.3">
      <c r="A708" s="2" t="s">
        <v>952</v>
      </c>
      <c r="B708" s="2" t="s">
        <v>1278</v>
      </c>
    </row>
    <row r="709" spans="1:2" x14ac:dyDescent="0.3">
      <c r="A709" s="2" t="s">
        <v>953</v>
      </c>
      <c r="B709" s="2" t="s">
        <v>1278</v>
      </c>
    </row>
    <row r="710" spans="1:2" x14ac:dyDescent="0.3">
      <c r="A710" s="2" t="s">
        <v>954</v>
      </c>
      <c r="B710" s="2" t="s">
        <v>1278</v>
      </c>
    </row>
    <row r="711" spans="1:2" x14ac:dyDescent="0.3">
      <c r="A711" s="2" t="s">
        <v>955</v>
      </c>
      <c r="B711" s="2" t="s">
        <v>1278</v>
      </c>
    </row>
    <row r="712" spans="1:2" x14ac:dyDescent="0.3">
      <c r="A712" s="2" t="s">
        <v>956</v>
      </c>
      <c r="B712" s="2" t="s">
        <v>1278</v>
      </c>
    </row>
    <row r="713" spans="1:2" x14ac:dyDescent="0.3">
      <c r="A713" s="2" t="s">
        <v>957</v>
      </c>
      <c r="B713" s="2" t="s">
        <v>1278</v>
      </c>
    </row>
    <row r="714" spans="1:2" x14ac:dyDescent="0.3">
      <c r="A714" s="2" t="s">
        <v>958</v>
      </c>
      <c r="B714" s="2" t="s">
        <v>1278</v>
      </c>
    </row>
    <row r="715" spans="1:2" x14ac:dyDescent="0.3">
      <c r="A715" s="2" t="s">
        <v>959</v>
      </c>
      <c r="B715" s="2" t="s">
        <v>1279</v>
      </c>
    </row>
    <row r="716" spans="1:2" x14ac:dyDescent="0.3">
      <c r="A716" s="2" t="s">
        <v>960</v>
      </c>
      <c r="B716" s="2" t="s">
        <v>1278</v>
      </c>
    </row>
    <row r="717" spans="1:2" x14ac:dyDescent="0.3">
      <c r="A717" s="2" t="s">
        <v>961</v>
      </c>
      <c r="B717" s="2" t="s">
        <v>1278</v>
      </c>
    </row>
    <row r="718" spans="1:2" x14ac:dyDescent="0.3">
      <c r="A718" s="2" t="s">
        <v>962</v>
      </c>
      <c r="B718" s="2" t="s">
        <v>1278</v>
      </c>
    </row>
    <row r="719" spans="1:2" x14ac:dyDescent="0.3">
      <c r="A719" s="2" t="s">
        <v>963</v>
      </c>
      <c r="B719" s="2" t="s">
        <v>1278</v>
      </c>
    </row>
    <row r="720" spans="1:2" x14ac:dyDescent="0.3">
      <c r="A720" s="2" t="s">
        <v>964</v>
      </c>
      <c r="B720" s="2" t="s">
        <v>1278</v>
      </c>
    </row>
    <row r="721" spans="1:2" x14ac:dyDescent="0.3">
      <c r="A721" s="2" t="s">
        <v>965</v>
      </c>
      <c r="B721" s="2" t="s">
        <v>1278</v>
      </c>
    </row>
    <row r="722" spans="1:2" x14ac:dyDescent="0.3">
      <c r="A722" s="2" t="s">
        <v>966</v>
      </c>
      <c r="B722" s="2" t="s">
        <v>1278</v>
      </c>
    </row>
    <row r="723" spans="1:2" x14ac:dyDescent="0.3">
      <c r="A723" s="2" t="s">
        <v>967</v>
      </c>
      <c r="B723" s="2" t="s">
        <v>1278</v>
      </c>
    </row>
    <row r="724" spans="1:2" x14ac:dyDescent="0.3">
      <c r="A724" s="2" t="s">
        <v>968</v>
      </c>
      <c r="B724" s="2" t="s">
        <v>1278</v>
      </c>
    </row>
    <row r="725" spans="1:2" x14ac:dyDescent="0.3">
      <c r="A725" s="2" t="s">
        <v>969</v>
      </c>
      <c r="B725" s="2" t="s">
        <v>1278</v>
      </c>
    </row>
    <row r="726" spans="1:2" x14ac:dyDescent="0.3">
      <c r="A726" s="2" t="s">
        <v>970</v>
      </c>
      <c r="B726" s="2" t="s">
        <v>1278</v>
      </c>
    </row>
    <row r="727" spans="1:2" x14ac:dyDescent="0.3">
      <c r="A727" s="2" t="s">
        <v>971</v>
      </c>
      <c r="B727" s="2" t="s">
        <v>1279</v>
      </c>
    </row>
    <row r="728" spans="1:2" x14ac:dyDescent="0.3">
      <c r="A728" s="2" t="s">
        <v>972</v>
      </c>
      <c r="B728" s="2" t="s">
        <v>1278</v>
      </c>
    </row>
    <row r="729" spans="1:2" x14ac:dyDescent="0.3">
      <c r="A729" s="2" t="s">
        <v>973</v>
      </c>
      <c r="B729" s="2" t="s">
        <v>1278</v>
      </c>
    </row>
    <row r="730" spans="1:2" x14ac:dyDescent="0.3">
      <c r="A730" s="2" t="s">
        <v>974</v>
      </c>
      <c r="B730" s="2" t="s">
        <v>1278</v>
      </c>
    </row>
    <row r="731" spans="1:2" x14ac:dyDescent="0.3">
      <c r="A731" s="2" t="s">
        <v>975</v>
      </c>
      <c r="B731" s="2" t="s">
        <v>1278</v>
      </c>
    </row>
    <row r="732" spans="1:2" x14ac:dyDescent="0.3">
      <c r="A732" s="2" t="s">
        <v>976</v>
      </c>
      <c r="B732" s="2" t="s">
        <v>1278</v>
      </c>
    </row>
    <row r="733" spans="1:2" x14ac:dyDescent="0.3">
      <c r="A733" s="2" t="s">
        <v>977</v>
      </c>
      <c r="B733" s="2" t="s">
        <v>1278</v>
      </c>
    </row>
    <row r="734" spans="1:2" x14ac:dyDescent="0.3">
      <c r="A734" s="2" t="s">
        <v>978</v>
      </c>
      <c r="B734" s="2" t="s">
        <v>1278</v>
      </c>
    </row>
    <row r="735" spans="1:2" x14ac:dyDescent="0.3">
      <c r="A735" s="2" t="s">
        <v>979</v>
      </c>
      <c r="B735" s="2" t="s">
        <v>1278</v>
      </c>
    </row>
    <row r="736" spans="1:2" x14ac:dyDescent="0.3">
      <c r="A736" s="2" t="s">
        <v>980</v>
      </c>
      <c r="B736" s="2" t="s">
        <v>1278</v>
      </c>
    </row>
    <row r="737" spans="1:2" x14ac:dyDescent="0.3">
      <c r="A737" s="2" t="s">
        <v>981</v>
      </c>
      <c r="B737" s="2" t="s">
        <v>1278</v>
      </c>
    </row>
    <row r="738" spans="1:2" x14ac:dyDescent="0.3">
      <c r="A738" s="2" t="s">
        <v>982</v>
      </c>
      <c r="B738" s="2" t="s">
        <v>1278</v>
      </c>
    </row>
    <row r="739" spans="1:2" x14ac:dyDescent="0.3">
      <c r="A739" s="2" t="s">
        <v>983</v>
      </c>
      <c r="B739" s="2" t="s">
        <v>1278</v>
      </c>
    </row>
    <row r="740" spans="1:2" x14ac:dyDescent="0.3">
      <c r="A740" s="2" t="s">
        <v>984</v>
      </c>
      <c r="B740" s="2" t="s">
        <v>1279</v>
      </c>
    </row>
    <row r="741" spans="1:2" x14ac:dyDescent="0.3">
      <c r="A741" s="2" t="s">
        <v>985</v>
      </c>
      <c r="B741" s="2" t="s">
        <v>1278</v>
      </c>
    </row>
    <row r="742" spans="1:2" x14ac:dyDescent="0.3">
      <c r="A742" s="2" t="s">
        <v>986</v>
      </c>
      <c r="B742" s="2" t="s">
        <v>1278</v>
      </c>
    </row>
    <row r="743" spans="1:2" x14ac:dyDescent="0.3">
      <c r="A743" s="2" t="s">
        <v>987</v>
      </c>
      <c r="B743" s="2" t="s">
        <v>1278</v>
      </c>
    </row>
    <row r="744" spans="1:2" x14ac:dyDescent="0.3">
      <c r="A744" s="2" t="s">
        <v>988</v>
      </c>
      <c r="B744" s="2" t="s">
        <v>1278</v>
      </c>
    </row>
    <row r="745" spans="1:2" x14ac:dyDescent="0.3">
      <c r="A745" s="2" t="s">
        <v>989</v>
      </c>
      <c r="B745" s="2" t="s">
        <v>1279</v>
      </c>
    </row>
    <row r="746" spans="1:2" x14ac:dyDescent="0.3">
      <c r="A746" s="2" t="s">
        <v>990</v>
      </c>
      <c r="B746" s="2" t="s">
        <v>1278</v>
      </c>
    </row>
    <row r="747" spans="1:2" x14ac:dyDescent="0.3">
      <c r="A747" s="2" t="s">
        <v>991</v>
      </c>
      <c r="B747" s="2" t="s">
        <v>1278</v>
      </c>
    </row>
    <row r="748" spans="1:2" x14ac:dyDescent="0.3">
      <c r="A748" s="2" t="s">
        <v>992</v>
      </c>
      <c r="B748" s="2" t="s">
        <v>1278</v>
      </c>
    </row>
    <row r="749" spans="1:2" x14ac:dyDescent="0.3">
      <c r="A749" s="2" t="s">
        <v>993</v>
      </c>
      <c r="B749" s="2" t="s">
        <v>1278</v>
      </c>
    </row>
    <row r="750" spans="1:2" x14ac:dyDescent="0.3">
      <c r="A750" s="2" t="s">
        <v>994</v>
      </c>
      <c r="B750" s="2" t="s">
        <v>1278</v>
      </c>
    </row>
    <row r="751" spans="1:2" x14ac:dyDescent="0.3">
      <c r="A751" s="2" t="s">
        <v>995</v>
      </c>
      <c r="B751" s="2" t="s">
        <v>1278</v>
      </c>
    </row>
    <row r="752" spans="1:2" x14ac:dyDescent="0.3">
      <c r="A752" s="2" t="s">
        <v>996</v>
      </c>
      <c r="B752" s="2" t="s">
        <v>1279</v>
      </c>
    </row>
    <row r="753" spans="1:2" x14ac:dyDescent="0.3">
      <c r="A753" s="2" t="s">
        <v>997</v>
      </c>
      <c r="B753" s="2" t="s">
        <v>1278</v>
      </c>
    </row>
    <row r="754" spans="1:2" x14ac:dyDescent="0.3">
      <c r="A754" s="2" t="s">
        <v>998</v>
      </c>
      <c r="B754" s="2" t="s">
        <v>1278</v>
      </c>
    </row>
    <row r="755" spans="1:2" x14ac:dyDescent="0.3">
      <c r="A755" s="2" t="s">
        <v>999</v>
      </c>
      <c r="B755" s="2" t="s">
        <v>1278</v>
      </c>
    </row>
    <row r="756" spans="1:2" x14ac:dyDescent="0.3">
      <c r="A756" s="2" t="s">
        <v>1000</v>
      </c>
      <c r="B756" s="2" t="s">
        <v>1278</v>
      </c>
    </row>
    <row r="757" spans="1:2" x14ac:dyDescent="0.3">
      <c r="A757" s="2" t="s">
        <v>1001</v>
      </c>
      <c r="B757" s="2" t="s">
        <v>1278</v>
      </c>
    </row>
    <row r="758" spans="1:2" x14ac:dyDescent="0.3">
      <c r="A758" s="2" t="s">
        <v>1002</v>
      </c>
      <c r="B758" s="2" t="s">
        <v>1278</v>
      </c>
    </row>
    <row r="759" spans="1:2" x14ac:dyDescent="0.3">
      <c r="A759" s="2" t="s">
        <v>1003</v>
      </c>
      <c r="B759" s="2" t="s">
        <v>1278</v>
      </c>
    </row>
    <row r="760" spans="1:2" x14ac:dyDescent="0.3">
      <c r="A760" s="2" t="s">
        <v>1004</v>
      </c>
      <c r="B760" s="2" t="s">
        <v>1278</v>
      </c>
    </row>
    <row r="761" spans="1:2" x14ac:dyDescent="0.3">
      <c r="A761" s="2" t="s">
        <v>1005</v>
      </c>
      <c r="B761" s="2" t="s">
        <v>1278</v>
      </c>
    </row>
    <row r="762" spans="1:2" x14ac:dyDescent="0.3">
      <c r="A762" s="2" t="s">
        <v>1006</v>
      </c>
      <c r="B762" s="2" t="s">
        <v>1278</v>
      </c>
    </row>
    <row r="763" spans="1:2" x14ac:dyDescent="0.3">
      <c r="A763" s="2" t="s">
        <v>1007</v>
      </c>
      <c r="B763" s="2" t="s">
        <v>1278</v>
      </c>
    </row>
    <row r="764" spans="1:2" x14ac:dyDescent="0.3">
      <c r="A764" s="2" t="s">
        <v>1008</v>
      </c>
      <c r="B764" s="2" t="s">
        <v>1278</v>
      </c>
    </row>
    <row r="765" spans="1:2" x14ac:dyDescent="0.3">
      <c r="A765" s="2" t="s">
        <v>1009</v>
      </c>
      <c r="B765" s="2" t="s">
        <v>1278</v>
      </c>
    </row>
    <row r="766" spans="1:2" x14ac:dyDescent="0.3">
      <c r="A766" s="2" t="s">
        <v>1010</v>
      </c>
      <c r="B766" s="2" t="s">
        <v>1278</v>
      </c>
    </row>
    <row r="767" spans="1:2" x14ac:dyDescent="0.3">
      <c r="A767" s="2" t="s">
        <v>1011</v>
      </c>
      <c r="B767" s="2" t="s">
        <v>1279</v>
      </c>
    </row>
    <row r="768" spans="1:2" x14ac:dyDescent="0.3">
      <c r="A768" s="2" t="s">
        <v>1012</v>
      </c>
      <c r="B768" s="2" t="s">
        <v>1278</v>
      </c>
    </row>
    <row r="769" spans="1:2" x14ac:dyDescent="0.3">
      <c r="A769" s="2" t="s">
        <v>1013</v>
      </c>
      <c r="B769" s="2" t="s">
        <v>1278</v>
      </c>
    </row>
    <row r="770" spans="1:2" x14ac:dyDescent="0.3">
      <c r="A770" s="2" t="s">
        <v>1014</v>
      </c>
      <c r="B770" s="2" t="s">
        <v>1278</v>
      </c>
    </row>
    <row r="771" spans="1:2" x14ac:dyDescent="0.3">
      <c r="A771" s="2" t="s">
        <v>1015</v>
      </c>
      <c r="B771" s="2" t="s">
        <v>1278</v>
      </c>
    </row>
    <row r="772" spans="1:2" x14ac:dyDescent="0.3">
      <c r="A772" s="2" t="s">
        <v>1016</v>
      </c>
      <c r="B772" s="2" t="s">
        <v>1279</v>
      </c>
    </row>
    <row r="773" spans="1:2" x14ac:dyDescent="0.3">
      <c r="A773" s="2" t="s">
        <v>1017</v>
      </c>
      <c r="B773" s="2" t="s">
        <v>1278</v>
      </c>
    </row>
    <row r="774" spans="1:2" x14ac:dyDescent="0.3">
      <c r="A774" s="2" t="s">
        <v>1018</v>
      </c>
      <c r="B774" s="2" t="s">
        <v>1279</v>
      </c>
    </row>
    <row r="775" spans="1:2" x14ac:dyDescent="0.3">
      <c r="A775" s="2" t="s">
        <v>1019</v>
      </c>
      <c r="B775" s="2" t="s">
        <v>1278</v>
      </c>
    </row>
    <row r="776" spans="1:2" x14ac:dyDescent="0.3">
      <c r="A776" s="2" t="s">
        <v>1020</v>
      </c>
      <c r="B776" s="2" t="s">
        <v>1278</v>
      </c>
    </row>
    <row r="777" spans="1:2" x14ac:dyDescent="0.3">
      <c r="A777" s="2" t="s">
        <v>1021</v>
      </c>
      <c r="B777" s="2" t="s">
        <v>1278</v>
      </c>
    </row>
    <row r="778" spans="1:2" x14ac:dyDescent="0.3">
      <c r="A778" s="2" t="s">
        <v>1022</v>
      </c>
      <c r="B778" s="2" t="s">
        <v>1278</v>
      </c>
    </row>
    <row r="779" spans="1:2" x14ac:dyDescent="0.3">
      <c r="A779" s="2" t="s">
        <v>1023</v>
      </c>
      <c r="B779" s="2" t="s">
        <v>1278</v>
      </c>
    </row>
    <row r="780" spans="1:2" x14ac:dyDescent="0.3">
      <c r="A780" s="2" t="s">
        <v>1024</v>
      </c>
      <c r="B780" s="2" t="s">
        <v>1278</v>
      </c>
    </row>
    <row r="781" spans="1:2" x14ac:dyDescent="0.3">
      <c r="A781" s="2" t="s">
        <v>1025</v>
      </c>
      <c r="B781" s="2" t="s">
        <v>1278</v>
      </c>
    </row>
    <row r="782" spans="1:2" x14ac:dyDescent="0.3">
      <c r="A782" s="2" t="s">
        <v>1026</v>
      </c>
      <c r="B782" s="2" t="s">
        <v>1278</v>
      </c>
    </row>
    <row r="783" spans="1:2" x14ac:dyDescent="0.3">
      <c r="A783" s="2" t="s">
        <v>1027</v>
      </c>
      <c r="B783" s="2" t="s">
        <v>1278</v>
      </c>
    </row>
    <row r="784" spans="1:2" x14ac:dyDescent="0.3">
      <c r="A784" s="2" t="s">
        <v>1028</v>
      </c>
      <c r="B784" s="2" t="s">
        <v>1278</v>
      </c>
    </row>
    <row r="785" spans="1:2" x14ac:dyDescent="0.3">
      <c r="A785" s="2" t="s">
        <v>1029</v>
      </c>
      <c r="B785" s="2" t="s">
        <v>1278</v>
      </c>
    </row>
    <row r="786" spans="1:2" x14ac:dyDescent="0.3">
      <c r="A786" s="2" t="s">
        <v>1030</v>
      </c>
      <c r="B786" s="2" t="s">
        <v>1279</v>
      </c>
    </row>
    <row r="787" spans="1:2" x14ac:dyDescent="0.3">
      <c r="A787" s="2" t="s">
        <v>1031</v>
      </c>
      <c r="B787" s="2" t="s">
        <v>1278</v>
      </c>
    </row>
    <row r="788" spans="1:2" x14ac:dyDescent="0.3">
      <c r="A788" s="2" t="s">
        <v>1032</v>
      </c>
      <c r="B788" s="2" t="s">
        <v>1278</v>
      </c>
    </row>
    <row r="789" spans="1:2" x14ac:dyDescent="0.3">
      <c r="A789" s="2" t="s">
        <v>1033</v>
      </c>
      <c r="B789" s="2" t="s">
        <v>1279</v>
      </c>
    </row>
    <row r="790" spans="1:2" x14ac:dyDescent="0.3">
      <c r="A790" s="2" t="s">
        <v>1034</v>
      </c>
      <c r="B790" s="2" t="s">
        <v>1278</v>
      </c>
    </row>
    <row r="791" spans="1:2" x14ac:dyDescent="0.3">
      <c r="A791" s="2" t="s">
        <v>1035</v>
      </c>
      <c r="B791" s="2" t="s">
        <v>1278</v>
      </c>
    </row>
    <row r="792" spans="1:2" x14ac:dyDescent="0.3">
      <c r="A792" s="2" t="s">
        <v>1036</v>
      </c>
      <c r="B792" s="2" t="s">
        <v>1279</v>
      </c>
    </row>
    <row r="793" spans="1:2" x14ac:dyDescent="0.3">
      <c r="A793" s="2" t="s">
        <v>1037</v>
      </c>
      <c r="B793" s="2" t="s">
        <v>1278</v>
      </c>
    </row>
    <row r="794" spans="1:2" x14ac:dyDescent="0.3">
      <c r="A794" s="2" t="s">
        <v>1038</v>
      </c>
      <c r="B794" s="2" t="s">
        <v>1278</v>
      </c>
    </row>
    <row r="795" spans="1:2" x14ac:dyDescent="0.3">
      <c r="A795" s="2" t="s">
        <v>1039</v>
      </c>
      <c r="B795" s="2" t="s">
        <v>1278</v>
      </c>
    </row>
    <row r="796" spans="1:2" x14ac:dyDescent="0.3">
      <c r="A796" s="2" t="s">
        <v>1040</v>
      </c>
      <c r="B796" s="2" t="s">
        <v>1278</v>
      </c>
    </row>
    <row r="797" spans="1:2" x14ac:dyDescent="0.3">
      <c r="A797" s="2" t="s">
        <v>1041</v>
      </c>
      <c r="B797" s="2" t="s">
        <v>1278</v>
      </c>
    </row>
    <row r="798" spans="1:2" x14ac:dyDescent="0.3">
      <c r="A798" s="2" t="s">
        <v>1042</v>
      </c>
      <c r="B798" s="2" t="s">
        <v>1278</v>
      </c>
    </row>
    <row r="799" spans="1:2" x14ac:dyDescent="0.3">
      <c r="A799" s="2" t="s">
        <v>1043</v>
      </c>
      <c r="B799" s="2" t="s">
        <v>1278</v>
      </c>
    </row>
    <row r="800" spans="1:2" x14ac:dyDescent="0.3">
      <c r="A800" s="2" t="s">
        <v>1044</v>
      </c>
      <c r="B800" s="2" t="s">
        <v>1278</v>
      </c>
    </row>
    <row r="801" spans="1:2" x14ac:dyDescent="0.3">
      <c r="A801" s="2" t="s">
        <v>1045</v>
      </c>
      <c r="B801" s="2" t="s">
        <v>1279</v>
      </c>
    </row>
    <row r="802" spans="1:2" x14ac:dyDescent="0.3">
      <c r="A802" s="2" t="s">
        <v>1046</v>
      </c>
      <c r="B802" s="2" t="s">
        <v>1278</v>
      </c>
    </row>
    <row r="803" spans="1:2" x14ac:dyDescent="0.3">
      <c r="A803" s="2" t="s">
        <v>1047</v>
      </c>
      <c r="B803" s="2" t="s">
        <v>1278</v>
      </c>
    </row>
    <row r="804" spans="1:2" x14ac:dyDescent="0.3">
      <c r="A804" s="2" t="s">
        <v>1048</v>
      </c>
      <c r="B804" s="2" t="s">
        <v>1278</v>
      </c>
    </row>
    <row r="805" spans="1:2" x14ac:dyDescent="0.3">
      <c r="A805" s="2" t="s">
        <v>1049</v>
      </c>
      <c r="B805" s="2" t="s">
        <v>1278</v>
      </c>
    </row>
    <row r="806" spans="1:2" x14ac:dyDescent="0.3">
      <c r="A806" s="2" t="s">
        <v>1050</v>
      </c>
      <c r="B806" s="2" t="s">
        <v>1278</v>
      </c>
    </row>
    <row r="807" spans="1:2" x14ac:dyDescent="0.3">
      <c r="A807" s="2" t="s">
        <v>1051</v>
      </c>
      <c r="B807" s="2" t="s">
        <v>1278</v>
      </c>
    </row>
    <row r="808" spans="1:2" x14ac:dyDescent="0.3">
      <c r="A808" s="2" t="s">
        <v>1052</v>
      </c>
      <c r="B808" s="2" t="s">
        <v>1278</v>
      </c>
    </row>
    <row r="809" spans="1:2" x14ac:dyDescent="0.3">
      <c r="A809" s="2" t="s">
        <v>1053</v>
      </c>
      <c r="B809" s="2" t="s">
        <v>1278</v>
      </c>
    </row>
    <row r="810" spans="1:2" x14ac:dyDescent="0.3">
      <c r="A810" s="2" t="s">
        <v>1054</v>
      </c>
      <c r="B810" s="2" t="s">
        <v>1278</v>
      </c>
    </row>
    <row r="811" spans="1:2" x14ac:dyDescent="0.3">
      <c r="A811" s="2" t="s">
        <v>1055</v>
      </c>
      <c r="B811" s="2" t="s">
        <v>1279</v>
      </c>
    </row>
    <row r="812" spans="1:2" x14ac:dyDescent="0.3">
      <c r="A812" s="2" t="s">
        <v>1056</v>
      </c>
      <c r="B812" s="2" t="s">
        <v>1278</v>
      </c>
    </row>
    <row r="813" spans="1:2" x14ac:dyDescent="0.3">
      <c r="A813" s="2" t="s">
        <v>1057</v>
      </c>
      <c r="B813" s="2" t="s">
        <v>1278</v>
      </c>
    </row>
    <row r="814" spans="1:2" x14ac:dyDescent="0.3">
      <c r="A814" s="2" t="s">
        <v>1058</v>
      </c>
      <c r="B814" s="2" t="s">
        <v>1278</v>
      </c>
    </row>
    <row r="815" spans="1:2" x14ac:dyDescent="0.3">
      <c r="A815" s="2" t="s">
        <v>1059</v>
      </c>
      <c r="B815" s="2" t="s">
        <v>1278</v>
      </c>
    </row>
    <row r="816" spans="1:2" x14ac:dyDescent="0.3">
      <c r="A816" s="2" t="s">
        <v>1060</v>
      </c>
      <c r="B816" s="2" t="s">
        <v>1278</v>
      </c>
    </row>
    <row r="817" spans="1:2" x14ac:dyDescent="0.3">
      <c r="A817" s="2" t="s">
        <v>1061</v>
      </c>
      <c r="B817" s="2" t="s">
        <v>1278</v>
      </c>
    </row>
    <row r="818" spans="1:2" x14ac:dyDescent="0.3">
      <c r="A818" s="2" t="s">
        <v>1062</v>
      </c>
      <c r="B818" s="2" t="s">
        <v>1278</v>
      </c>
    </row>
    <row r="819" spans="1:2" x14ac:dyDescent="0.3">
      <c r="A819" s="2" t="s">
        <v>1063</v>
      </c>
      <c r="B819" s="2" t="s">
        <v>1278</v>
      </c>
    </row>
    <row r="820" spans="1:2" x14ac:dyDescent="0.3">
      <c r="A820" s="2" t="s">
        <v>1064</v>
      </c>
      <c r="B820" s="2" t="s">
        <v>1279</v>
      </c>
    </row>
    <row r="821" spans="1:2" x14ac:dyDescent="0.3">
      <c r="A821" s="2" t="s">
        <v>1065</v>
      </c>
      <c r="B821" s="2" t="s">
        <v>1278</v>
      </c>
    </row>
    <row r="822" spans="1:2" x14ac:dyDescent="0.3">
      <c r="A822" s="2" t="s">
        <v>1066</v>
      </c>
      <c r="B822" s="2" t="s">
        <v>1278</v>
      </c>
    </row>
    <row r="823" spans="1:2" x14ac:dyDescent="0.3">
      <c r="A823" s="2" t="s">
        <v>1067</v>
      </c>
      <c r="B823" s="2" t="s">
        <v>1278</v>
      </c>
    </row>
    <row r="824" spans="1:2" x14ac:dyDescent="0.3">
      <c r="A824" s="2" t="s">
        <v>1068</v>
      </c>
      <c r="B824" s="2" t="s">
        <v>1279</v>
      </c>
    </row>
    <row r="825" spans="1:2" x14ac:dyDescent="0.3">
      <c r="A825" s="2" t="s">
        <v>1069</v>
      </c>
      <c r="B825" s="2" t="s">
        <v>1278</v>
      </c>
    </row>
    <row r="826" spans="1:2" x14ac:dyDescent="0.3">
      <c r="A826" s="2" t="s">
        <v>1070</v>
      </c>
      <c r="B826" s="2" t="s">
        <v>1278</v>
      </c>
    </row>
    <row r="827" spans="1:2" x14ac:dyDescent="0.3">
      <c r="A827" s="2" t="s">
        <v>1071</v>
      </c>
      <c r="B827" s="2" t="s">
        <v>1278</v>
      </c>
    </row>
    <row r="828" spans="1:2" x14ac:dyDescent="0.3">
      <c r="A828" s="2" t="s">
        <v>1072</v>
      </c>
      <c r="B828" s="2" t="s">
        <v>1278</v>
      </c>
    </row>
    <row r="829" spans="1:2" x14ac:dyDescent="0.3">
      <c r="A829" s="2" t="s">
        <v>1073</v>
      </c>
      <c r="B829" s="2" t="s">
        <v>1278</v>
      </c>
    </row>
    <row r="830" spans="1:2" x14ac:dyDescent="0.3">
      <c r="A830" s="2" t="s">
        <v>1074</v>
      </c>
      <c r="B830" s="2" t="s">
        <v>1278</v>
      </c>
    </row>
    <row r="831" spans="1:2" x14ac:dyDescent="0.3">
      <c r="A831" s="2" t="s">
        <v>1075</v>
      </c>
      <c r="B831" s="2" t="s">
        <v>1278</v>
      </c>
    </row>
    <row r="832" spans="1:2" x14ac:dyDescent="0.3">
      <c r="A832" s="2" t="s">
        <v>1076</v>
      </c>
      <c r="B832" s="2" t="s">
        <v>1278</v>
      </c>
    </row>
    <row r="833" spans="1:2" x14ac:dyDescent="0.3">
      <c r="A833" s="2" t="s">
        <v>1077</v>
      </c>
      <c r="B833" s="2" t="s">
        <v>1278</v>
      </c>
    </row>
    <row r="834" spans="1:2" x14ac:dyDescent="0.3">
      <c r="A834" s="2" t="s">
        <v>1078</v>
      </c>
      <c r="B834" s="2" t="s">
        <v>1278</v>
      </c>
    </row>
    <row r="835" spans="1:2" x14ac:dyDescent="0.3">
      <c r="A835" s="2" t="s">
        <v>1079</v>
      </c>
      <c r="B835" s="2" t="s">
        <v>1278</v>
      </c>
    </row>
    <row r="836" spans="1:2" x14ac:dyDescent="0.3">
      <c r="A836" s="2" t="s">
        <v>1080</v>
      </c>
      <c r="B836" s="2" t="s">
        <v>1278</v>
      </c>
    </row>
    <row r="837" spans="1:2" x14ac:dyDescent="0.3">
      <c r="A837" s="2" t="s">
        <v>1081</v>
      </c>
      <c r="B837" s="2" t="s">
        <v>1279</v>
      </c>
    </row>
    <row r="838" spans="1:2" x14ac:dyDescent="0.3">
      <c r="A838" s="2" t="s">
        <v>1082</v>
      </c>
      <c r="B838" s="2" t="s">
        <v>1278</v>
      </c>
    </row>
    <row r="839" spans="1:2" x14ac:dyDescent="0.3">
      <c r="A839" s="2" t="s">
        <v>1083</v>
      </c>
      <c r="B839" s="2" t="s">
        <v>1278</v>
      </c>
    </row>
    <row r="840" spans="1:2" x14ac:dyDescent="0.3">
      <c r="A840" s="2" t="s">
        <v>1084</v>
      </c>
      <c r="B840" s="2" t="s">
        <v>1278</v>
      </c>
    </row>
    <row r="841" spans="1:2" x14ac:dyDescent="0.3">
      <c r="A841" s="2" t="s">
        <v>1085</v>
      </c>
      <c r="B841" s="2" t="s">
        <v>1278</v>
      </c>
    </row>
    <row r="842" spans="1:2" x14ac:dyDescent="0.3">
      <c r="A842" s="2" t="s">
        <v>1086</v>
      </c>
      <c r="B842" s="2" t="s">
        <v>1279</v>
      </c>
    </row>
    <row r="843" spans="1:2" x14ac:dyDescent="0.3">
      <c r="A843" s="2" t="s">
        <v>1087</v>
      </c>
      <c r="B843" s="2" t="s">
        <v>1278</v>
      </c>
    </row>
    <row r="844" spans="1:2" x14ac:dyDescent="0.3">
      <c r="A844" s="2" t="s">
        <v>1088</v>
      </c>
      <c r="B844" s="2" t="s">
        <v>1278</v>
      </c>
    </row>
    <row r="845" spans="1:2" x14ac:dyDescent="0.3">
      <c r="A845" s="2" t="s">
        <v>1089</v>
      </c>
      <c r="B845" s="2" t="s">
        <v>1278</v>
      </c>
    </row>
    <row r="846" spans="1:2" x14ac:dyDescent="0.3">
      <c r="A846" s="2" t="s">
        <v>1090</v>
      </c>
      <c r="B846" s="2" t="s">
        <v>1278</v>
      </c>
    </row>
    <row r="847" spans="1:2" x14ac:dyDescent="0.3">
      <c r="A847" s="2" t="s">
        <v>1091</v>
      </c>
      <c r="B847" s="2" t="s">
        <v>1278</v>
      </c>
    </row>
    <row r="848" spans="1:2" x14ac:dyDescent="0.3">
      <c r="A848" s="2" t="s">
        <v>1092</v>
      </c>
      <c r="B848" s="2" t="s">
        <v>1278</v>
      </c>
    </row>
    <row r="849" spans="1:2" x14ac:dyDescent="0.3">
      <c r="A849" s="2" t="s">
        <v>1093</v>
      </c>
      <c r="B849" s="2" t="s">
        <v>1278</v>
      </c>
    </row>
    <row r="850" spans="1:2" x14ac:dyDescent="0.3">
      <c r="A850" s="2" t="s">
        <v>1094</v>
      </c>
      <c r="B850" s="2" t="s">
        <v>1278</v>
      </c>
    </row>
    <row r="851" spans="1:2" x14ac:dyDescent="0.3">
      <c r="A851" s="2" t="s">
        <v>1095</v>
      </c>
      <c r="B851" s="2" t="s">
        <v>1278</v>
      </c>
    </row>
    <row r="852" spans="1:2" x14ac:dyDescent="0.3">
      <c r="A852" s="2" t="s">
        <v>1096</v>
      </c>
      <c r="B852" s="2" t="s">
        <v>1278</v>
      </c>
    </row>
    <row r="853" spans="1:2" x14ac:dyDescent="0.3">
      <c r="A853" s="2" t="s">
        <v>1097</v>
      </c>
      <c r="B853" s="2" t="s">
        <v>1278</v>
      </c>
    </row>
    <row r="854" spans="1:2" x14ac:dyDescent="0.3">
      <c r="A854" s="2" t="s">
        <v>1098</v>
      </c>
      <c r="B854" s="2" t="s">
        <v>1278</v>
      </c>
    </row>
    <row r="855" spans="1:2" x14ac:dyDescent="0.3">
      <c r="A855" s="2" t="s">
        <v>1099</v>
      </c>
      <c r="B855" s="2" t="s">
        <v>1278</v>
      </c>
    </row>
    <row r="856" spans="1:2" x14ac:dyDescent="0.3">
      <c r="A856" s="2" t="s">
        <v>1100</v>
      </c>
      <c r="B856" s="2" t="s">
        <v>1278</v>
      </c>
    </row>
    <row r="857" spans="1:2" x14ac:dyDescent="0.3">
      <c r="A857" s="2" t="s">
        <v>1101</v>
      </c>
      <c r="B857" s="2" t="s">
        <v>1278</v>
      </c>
    </row>
    <row r="858" spans="1:2" x14ac:dyDescent="0.3">
      <c r="A858" s="2" t="s">
        <v>1102</v>
      </c>
      <c r="B858" s="2" t="s">
        <v>1279</v>
      </c>
    </row>
    <row r="859" spans="1:2" x14ac:dyDescent="0.3">
      <c r="A859" s="2" t="s">
        <v>1103</v>
      </c>
      <c r="B859" s="2" t="s">
        <v>1278</v>
      </c>
    </row>
    <row r="860" spans="1:2" x14ac:dyDescent="0.3">
      <c r="A860" s="2" t="s">
        <v>1104</v>
      </c>
      <c r="B860" s="2" t="s">
        <v>1278</v>
      </c>
    </row>
    <row r="861" spans="1:2" x14ac:dyDescent="0.3">
      <c r="A861" s="2" t="s">
        <v>1105</v>
      </c>
      <c r="B861" s="2" t="s">
        <v>1278</v>
      </c>
    </row>
    <row r="862" spans="1:2" x14ac:dyDescent="0.3">
      <c r="A862" s="2" t="s">
        <v>1106</v>
      </c>
      <c r="B862" s="2" t="s">
        <v>1278</v>
      </c>
    </row>
    <row r="863" spans="1:2" x14ac:dyDescent="0.3">
      <c r="A863" s="2" t="s">
        <v>1107</v>
      </c>
      <c r="B863" s="2" t="s">
        <v>1278</v>
      </c>
    </row>
    <row r="864" spans="1:2" x14ac:dyDescent="0.3">
      <c r="A864" s="2" t="s">
        <v>1108</v>
      </c>
      <c r="B864" s="2" t="s">
        <v>1278</v>
      </c>
    </row>
    <row r="865" spans="1:2" x14ac:dyDescent="0.3">
      <c r="A865" s="2" t="s">
        <v>1109</v>
      </c>
      <c r="B865" s="2" t="s">
        <v>1278</v>
      </c>
    </row>
    <row r="866" spans="1:2" x14ac:dyDescent="0.3">
      <c r="A866" s="2" t="s">
        <v>1110</v>
      </c>
      <c r="B866" s="2" t="s">
        <v>1278</v>
      </c>
    </row>
    <row r="867" spans="1:2" x14ac:dyDescent="0.3">
      <c r="A867" s="2" t="s">
        <v>1111</v>
      </c>
      <c r="B867" s="2" t="s">
        <v>1278</v>
      </c>
    </row>
    <row r="868" spans="1:2" x14ac:dyDescent="0.3">
      <c r="A868" s="2" t="s">
        <v>1112</v>
      </c>
      <c r="B868" s="2" t="s">
        <v>1279</v>
      </c>
    </row>
    <row r="869" spans="1:2" x14ac:dyDescent="0.3">
      <c r="A869" s="2" t="s">
        <v>1113</v>
      </c>
      <c r="B869" s="2" t="s">
        <v>1278</v>
      </c>
    </row>
    <row r="870" spans="1:2" x14ac:dyDescent="0.3">
      <c r="A870" s="2" t="s">
        <v>1114</v>
      </c>
      <c r="B870" s="2" t="s">
        <v>1278</v>
      </c>
    </row>
    <row r="871" spans="1:2" x14ac:dyDescent="0.3">
      <c r="A871" s="2" t="s">
        <v>1115</v>
      </c>
      <c r="B871" s="2" t="s">
        <v>1278</v>
      </c>
    </row>
    <row r="872" spans="1:2" x14ac:dyDescent="0.3">
      <c r="A872" s="2" t="s">
        <v>1116</v>
      </c>
      <c r="B872" s="2" t="s">
        <v>1278</v>
      </c>
    </row>
    <row r="873" spans="1:2" x14ac:dyDescent="0.3">
      <c r="A873" s="2" t="s">
        <v>1117</v>
      </c>
      <c r="B873" s="2" t="s">
        <v>1278</v>
      </c>
    </row>
    <row r="874" spans="1:2" x14ac:dyDescent="0.3">
      <c r="A874" s="2" t="s">
        <v>1118</v>
      </c>
      <c r="B874" s="2" t="s">
        <v>1278</v>
      </c>
    </row>
    <row r="875" spans="1:2" x14ac:dyDescent="0.3">
      <c r="A875" s="2" t="s">
        <v>1119</v>
      </c>
      <c r="B875" s="2" t="s">
        <v>1278</v>
      </c>
    </row>
    <row r="876" spans="1:2" x14ac:dyDescent="0.3">
      <c r="A876" s="2" t="s">
        <v>1120</v>
      </c>
      <c r="B876" s="2" t="s">
        <v>1278</v>
      </c>
    </row>
    <row r="877" spans="1:2" x14ac:dyDescent="0.3">
      <c r="A877" s="2" t="s">
        <v>1121</v>
      </c>
      <c r="B877" s="2" t="s">
        <v>1278</v>
      </c>
    </row>
    <row r="878" spans="1:2" x14ac:dyDescent="0.3">
      <c r="A878" s="2" t="s">
        <v>1122</v>
      </c>
      <c r="B878" s="2" t="s">
        <v>1278</v>
      </c>
    </row>
    <row r="879" spans="1:2" x14ac:dyDescent="0.3">
      <c r="A879" s="2" t="s">
        <v>1123</v>
      </c>
      <c r="B879" s="2" t="s">
        <v>1278</v>
      </c>
    </row>
    <row r="880" spans="1:2" x14ac:dyDescent="0.3">
      <c r="A880" s="2" t="s">
        <v>1124</v>
      </c>
      <c r="B880" s="2" t="s">
        <v>1278</v>
      </c>
    </row>
    <row r="881" spans="1:2" x14ac:dyDescent="0.3">
      <c r="A881" s="2" t="s">
        <v>1125</v>
      </c>
      <c r="B881" s="2" t="s">
        <v>1279</v>
      </c>
    </row>
    <row r="882" spans="1:2" x14ac:dyDescent="0.3">
      <c r="A882" s="2" t="s">
        <v>1126</v>
      </c>
      <c r="B882" s="2" t="s">
        <v>1278</v>
      </c>
    </row>
    <row r="883" spans="1:2" x14ac:dyDescent="0.3">
      <c r="A883" s="2" t="s">
        <v>1127</v>
      </c>
      <c r="B883" s="2" t="s">
        <v>1278</v>
      </c>
    </row>
    <row r="884" spans="1:2" x14ac:dyDescent="0.3">
      <c r="A884" s="2" t="s">
        <v>1128</v>
      </c>
      <c r="B884" s="2" t="s">
        <v>1278</v>
      </c>
    </row>
    <row r="885" spans="1:2" x14ac:dyDescent="0.3">
      <c r="A885" s="2" t="s">
        <v>1129</v>
      </c>
      <c r="B885" s="2" t="s">
        <v>1278</v>
      </c>
    </row>
    <row r="886" spans="1:2" x14ac:dyDescent="0.3">
      <c r="A886" s="2" t="s">
        <v>1130</v>
      </c>
      <c r="B886" s="2" t="s">
        <v>1279</v>
      </c>
    </row>
    <row r="887" spans="1:2" x14ac:dyDescent="0.3">
      <c r="A887" s="2" t="s">
        <v>1131</v>
      </c>
      <c r="B887" s="2" t="s">
        <v>1278</v>
      </c>
    </row>
    <row r="888" spans="1:2" x14ac:dyDescent="0.3">
      <c r="A888" s="2" t="s">
        <v>1132</v>
      </c>
      <c r="B888" s="2" t="s">
        <v>1278</v>
      </c>
    </row>
    <row r="889" spans="1:2" x14ac:dyDescent="0.3">
      <c r="A889" s="2" t="s">
        <v>1133</v>
      </c>
      <c r="B889" s="2" t="s">
        <v>1278</v>
      </c>
    </row>
    <row r="890" spans="1:2" x14ac:dyDescent="0.3">
      <c r="A890" s="2" t="s">
        <v>1134</v>
      </c>
      <c r="B890" s="2" t="s">
        <v>1278</v>
      </c>
    </row>
    <row r="891" spans="1:2" x14ac:dyDescent="0.3">
      <c r="A891" s="2" t="s">
        <v>1135</v>
      </c>
      <c r="B891" s="2" t="s">
        <v>1279</v>
      </c>
    </row>
    <row r="892" spans="1:2" x14ac:dyDescent="0.3">
      <c r="A892" s="2" t="s">
        <v>1136</v>
      </c>
      <c r="B892" s="2" t="s">
        <v>1279</v>
      </c>
    </row>
    <row r="893" spans="1:2" x14ac:dyDescent="0.3">
      <c r="A893" s="2" t="s">
        <v>1137</v>
      </c>
      <c r="B893" s="2" t="s">
        <v>1278</v>
      </c>
    </row>
    <row r="894" spans="1:2" x14ac:dyDescent="0.3">
      <c r="A894" s="2" t="s">
        <v>1138</v>
      </c>
      <c r="B894" s="2" t="s">
        <v>1278</v>
      </c>
    </row>
    <row r="895" spans="1:2" x14ac:dyDescent="0.3">
      <c r="A895" s="2" t="s">
        <v>1139</v>
      </c>
      <c r="B895" s="2" t="s">
        <v>1278</v>
      </c>
    </row>
    <row r="896" spans="1:2" x14ac:dyDescent="0.3">
      <c r="A896" s="2" t="s">
        <v>1140</v>
      </c>
      <c r="B896" s="2" t="s">
        <v>1278</v>
      </c>
    </row>
    <row r="897" spans="1:2" x14ac:dyDescent="0.3">
      <c r="A897" s="2" t="s">
        <v>1141</v>
      </c>
      <c r="B897" s="2" t="s">
        <v>1278</v>
      </c>
    </row>
    <row r="898" spans="1:2" x14ac:dyDescent="0.3">
      <c r="A898" s="2" t="s">
        <v>1142</v>
      </c>
      <c r="B898" s="2" t="s">
        <v>1278</v>
      </c>
    </row>
    <row r="899" spans="1:2" x14ac:dyDescent="0.3">
      <c r="A899" s="2" t="s">
        <v>1143</v>
      </c>
      <c r="B899" s="2" t="s">
        <v>1279</v>
      </c>
    </row>
    <row r="900" spans="1:2" x14ac:dyDescent="0.3">
      <c r="A900" s="2" t="s">
        <v>1144</v>
      </c>
      <c r="B900" s="2" t="s">
        <v>1278</v>
      </c>
    </row>
    <row r="901" spans="1:2" x14ac:dyDescent="0.3">
      <c r="A901" s="2" t="s">
        <v>1145</v>
      </c>
      <c r="B901" s="2" t="s">
        <v>1278</v>
      </c>
    </row>
    <row r="902" spans="1:2" x14ac:dyDescent="0.3">
      <c r="A902" s="2" t="s">
        <v>1146</v>
      </c>
      <c r="B902" s="2" t="s">
        <v>1279</v>
      </c>
    </row>
    <row r="903" spans="1:2" x14ac:dyDescent="0.3">
      <c r="A903" s="2" t="s">
        <v>1147</v>
      </c>
      <c r="B903" s="2" t="s">
        <v>1278</v>
      </c>
    </row>
    <row r="904" spans="1:2" x14ac:dyDescent="0.3">
      <c r="A904" s="2" t="s">
        <v>1148</v>
      </c>
      <c r="B904" s="2" t="s">
        <v>1278</v>
      </c>
    </row>
    <row r="905" spans="1:2" x14ac:dyDescent="0.3">
      <c r="A905" s="2" t="s">
        <v>1149</v>
      </c>
      <c r="B905" s="2" t="s">
        <v>1278</v>
      </c>
    </row>
    <row r="906" spans="1:2" x14ac:dyDescent="0.3">
      <c r="A906" s="2" t="s">
        <v>1150</v>
      </c>
      <c r="B906" s="2" t="s">
        <v>1278</v>
      </c>
    </row>
    <row r="907" spans="1:2" x14ac:dyDescent="0.3">
      <c r="A907" s="2" t="s">
        <v>1151</v>
      </c>
      <c r="B907" s="2" t="s">
        <v>1278</v>
      </c>
    </row>
    <row r="908" spans="1:2" x14ac:dyDescent="0.3">
      <c r="A908" s="2" t="s">
        <v>1152</v>
      </c>
      <c r="B908" s="2" t="s">
        <v>1278</v>
      </c>
    </row>
    <row r="909" spans="1:2" x14ac:dyDescent="0.3">
      <c r="A909" s="2" t="s">
        <v>1153</v>
      </c>
      <c r="B909" s="2" t="s">
        <v>1278</v>
      </c>
    </row>
    <row r="910" spans="1:2" x14ac:dyDescent="0.3">
      <c r="A910" s="2" t="s">
        <v>1154</v>
      </c>
      <c r="B910" s="2" t="s">
        <v>1279</v>
      </c>
    </row>
    <row r="911" spans="1:2" x14ac:dyDescent="0.3">
      <c r="A911" s="2" t="s">
        <v>1155</v>
      </c>
      <c r="B911" s="2" t="s">
        <v>1278</v>
      </c>
    </row>
    <row r="912" spans="1:2" x14ac:dyDescent="0.3">
      <c r="A912" s="2" t="s">
        <v>1156</v>
      </c>
      <c r="B912" s="2" t="s">
        <v>1278</v>
      </c>
    </row>
    <row r="913" spans="1:2" x14ac:dyDescent="0.3">
      <c r="A913" s="2" t="s">
        <v>1157</v>
      </c>
      <c r="B913" s="2" t="s">
        <v>1278</v>
      </c>
    </row>
    <row r="914" spans="1:2" x14ac:dyDescent="0.3">
      <c r="A914" s="2" t="s">
        <v>1158</v>
      </c>
      <c r="B914" s="2" t="s">
        <v>1278</v>
      </c>
    </row>
    <row r="915" spans="1:2" x14ac:dyDescent="0.3">
      <c r="A915" s="2" t="s">
        <v>1159</v>
      </c>
      <c r="B915" s="2" t="s">
        <v>1279</v>
      </c>
    </row>
    <row r="916" spans="1:2" x14ac:dyDescent="0.3">
      <c r="A916" s="2" t="s">
        <v>1160</v>
      </c>
      <c r="B916" s="2" t="s">
        <v>1278</v>
      </c>
    </row>
    <row r="917" spans="1:2" x14ac:dyDescent="0.3">
      <c r="A917" s="2" t="s">
        <v>1161</v>
      </c>
      <c r="B917" s="2" t="s">
        <v>1278</v>
      </c>
    </row>
    <row r="918" spans="1:2" x14ac:dyDescent="0.3">
      <c r="A918" s="2" t="s">
        <v>1162</v>
      </c>
      <c r="B918" s="2" t="s">
        <v>1278</v>
      </c>
    </row>
    <row r="919" spans="1:2" x14ac:dyDescent="0.3">
      <c r="A919" s="2" t="s">
        <v>1163</v>
      </c>
      <c r="B919" s="2" t="s">
        <v>1278</v>
      </c>
    </row>
    <row r="920" spans="1:2" x14ac:dyDescent="0.3">
      <c r="A920" s="2" t="s">
        <v>1164</v>
      </c>
      <c r="B920" s="2" t="s">
        <v>1278</v>
      </c>
    </row>
    <row r="921" spans="1:2" x14ac:dyDescent="0.3">
      <c r="A921" s="2" t="s">
        <v>1165</v>
      </c>
      <c r="B921" s="2" t="s">
        <v>1279</v>
      </c>
    </row>
    <row r="922" spans="1:2" x14ac:dyDescent="0.3">
      <c r="A922" s="2" t="s">
        <v>1166</v>
      </c>
      <c r="B922" s="2" t="s">
        <v>1278</v>
      </c>
    </row>
    <row r="923" spans="1:2" x14ac:dyDescent="0.3">
      <c r="A923" s="2" t="s">
        <v>1167</v>
      </c>
      <c r="B923" s="2" t="s">
        <v>1279</v>
      </c>
    </row>
    <row r="924" spans="1:2" x14ac:dyDescent="0.3">
      <c r="A924" s="2" t="s">
        <v>1168</v>
      </c>
      <c r="B924" s="2" t="s">
        <v>1278</v>
      </c>
    </row>
    <row r="925" spans="1:2" x14ac:dyDescent="0.3">
      <c r="A925" s="2" t="s">
        <v>1169</v>
      </c>
      <c r="B925" s="2" t="s">
        <v>1278</v>
      </c>
    </row>
    <row r="926" spans="1:2" x14ac:dyDescent="0.3">
      <c r="A926" s="2" t="s">
        <v>1170</v>
      </c>
      <c r="B926" s="2" t="s">
        <v>1279</v>
      </c>
    </row>
    <row r="927" spans="1:2" x14ac:dyDescent="0.3">
      <c r="A927" s="2" t="s">
        <v>1171</v>
      </c>
      <c r="B927" s="2" t="s">
        <v>1278</v>
      </c>
    </row>
    <row r="928" spans="1:2" x14ac:dyDescent="0.3">
      <c r="A928" s="2" t="s">
        <v>1172</v>
      </c>
      <c r="B928" s="2" t="s">
        <v>1278</v>
      </c>
    </row>
    <row r="929" spans="1:2" x14ac:dyDescent="0.3">
      <c r="A929" s="2" t="s">
        <v>1173</v>
      </c>
      <c r="B929" s="2" t="s">
        <v>1278</v>
      </c>
    </row>
    <row r="930" spans="1:2" x14ac:dyDescent="0.3">
      <c r="A930" s="2" t="s">
        <v>1174</v>
      </c>
      <c r="B930" s="2" t="s">
        <v>1278</v>
      </c>
    </row>
    <row r="931" spans="1:2" x14ac:dyDescent="0.3">
      <c r="A931" s="2" t="s">
        <v>1175</v>
      </c>
      <c r="B931" s="2" t="s">
        <v>1278</v>
      </c>
    </row>
    <row r="932" spans="1:2" x14ac:dyDescent="0.3">
      <c r="A932" s="2" t="s">
        <v>1176</v>
      </c>
      <c r="B932" s="2" t="s">
        <v>1278</v>
      </c>
    </row>
    <row r="933" spans="1:2" x14ac:dyDescent="0.3">
      <c r="A933" s="2" t="s">
        <v>1177</v>
      </c>
      <c r="B933" s="2" t="s">
        <v>1279</v>
      </c>
    </row>
    <row r="934" spans="1:2" x14ac:dyDescent="0.3">
      <c r="A934" s="2" t="s">
        <v>1178</v>
      </c>
      <c r="B934" s="2" t="s">
        <v>1278</v>
      </c>
    </row>
    <row r="935" spans="1:2" x14ac:dyDescent="0.3">
      <c r="A935" s="2" t="s">
        <v>1179</v>
      </c>
      <c r="B935" s="2" t="s">
        <v>1278</v>
      </c>
    </row>
    <row r="936" spans="1:2" x14ac:dyDescent="0.3">
      <c r="A936" s="2" t="s">
        <v>1180</v>
      </c>
      <c r="B936" s="2" t="s">
        <v>1278</v>
      </c>
    </row>
    <row r="937" spans="1:2" x14ac:dyDescent="0.3">
      <c r="A937" s="2" t="s">
        <v>1181</v>
      </c>
      <c r="B937" s="2" t="s">
        <v>1278</v>
      </c>
    </row>
    <row r="938" spans="1:2" x14ac:dyDescent="0.3">
      <c r="A938" s="2" t="s">
        <v>1182</v>
      </c>
      <c r="B938" s="2" t="s">
        <v>1278</v>
      </c>
    </row>
    <row r="939" spans="1:2" x14ac:dyDescent="0.3">
      <c r="A939" s="2" t="s">
        <v>1183</v>
      </c>
      <c r="B939" s="2" t="s">
        <v>1278</v>
      </c>
    </row>
    <row r="940" spans="1:2" x14ac:dyDescent="0.3">
      <c r="A940" s="2" t="s">
        <v>1184</v>
      </c>
      <c r="B940" s="2" t="s">
        <v>1279</v>
      </c>
    </row>
    <row r="941" spans="1:2" x14ac:dyDescent="0.3">
      <c r="A941" s="2" t="s">
        <v>1185</v>
      </c>
      <c r="B941" s="2" t="s">
        <v>1278</v>
      </c>
    </row>
    <row r="942" spans="1:2" x14ac:dyDescent="0.3">
      <c r="A942" s="2" t="s">
        <v>1186</v>
      </c>
      <c r="B942" s="2" t="s">
        <v>1278</v>
      </c>
    </row>
    <row r="943" spans="1:2" x14ac:dyDescent="0.3">
      <c r="A943" s="2" t="s">
        <v>1187</v>
      </c>
      <c r="B943" s="2" t="s">
        <v>1278</v>
      </c>
    </row>
    <row r="944" spans="1:2" x14ac:dyDescent="0.3">
      <c r="A944" s="2" t="s">
        <v>1188</v>
      </c>
      <c r="B944" s="2" t="s">
        <v>1278</v>
      </c>
    </row>
    <row r="945" spans="1:2" x14ac:dyDescent="0.3">
      <c r="A945" s="2" t="s">
        <v>1189</v>
      </c>
      <c r="B945" s="2" t="s">
        <v>1278</v>
      </c>
    </row>
    <row r="946" spans="1:2" x14ac:dyDescent="0.3">
      <c r="A946" s="2" t="s">
        <v>1190</v>
      </c>
      <c r="B946" s="2" t="s">
        <v>1278</v>
      </c>
    </row>
    <row r="947" spans="1:2" x14ac:dyDescent="0.3">
      <c r="A947" s="2" t="s">
        <v>1191</v>
      </c>
      <c r="B947" s="2" t="s">
        <v>1278</v>
      </c>
    </row>
    <row r="948" spans="1:2" x14ac:dyDescent="0.3">
      <c r="A948" s="2" t="s">
        <v>1192</v>
      </c>
      <c r="B948" s="2" t="s">
        <v>1278</v>
      </c>
    </row>
    <row r="949" spans="1:2" x14ac:dyDescent="0.3">
      <c r="A949" s="2" t="s">
        <v>1193</v>
      </c>
      <c r="B949" s="2" t="s">
        <v>1278</v>
      </c>
    </row>
    <row r="950" spans="1:2" x14ac:dyDescent="0.3">
      <c r="A950" s="2" t="s">
        <v>1194</v>
      </c>
      <c r="B950" s="2" t="s">
        <v>1279</v>
      </c>
    </row>
    <row r="951" spans="1:2" x14ac:dyDescent="0.3">
      <c r="A951" s="2" t="s">
        <v>1195</v>
      </c>
      <c r="B951" s="2" t="s">
        <v>1278</v>
      </c>
    </row>
    <row r="952" spans="1:2" x14ac:dyDescent="0.3">
      <c r="A952" s="2" t="s">
        <v>1196</v>
      </c>
      <c r="B952" s="2" t="s">
        <v>1278</v>
      </c>
    </row>
    <row r="953" spans="1:2" x14ac:dyDescent="0.3">
      <c r="A953" s="2" t="s">
        <v>1197</v>
      </c>
      <c r="B953" s="2" t="s">
        <v>1278</v>
      </c>
    </row>
    <row r="954" spans="1:2" x14ac:dyDescent="0.3">
      <c r="A954" s="2" t="s">
        <v>1198</v>
      </c>
      <c r="B954" s="2" t="s">
        <v>1279</v>
      </c>
    </row>
    <row r="955" spans="1:2" x14ac:dyDescent="0.3">
      <c r="A955" s="2" t="s">
        <v>1199</v>
      </c>
      <c r="B955" s="2" t="s">
        <v>1279</v>
      </c>
    </row>
    <row r="956" spans="1:2" x14ac:dyDescent="0.3">
      <c r="A956" s="2" t="s">
        <v>1200</v>
      </c>
      <c r="B956" s="2" t="s">
        <v>1278</v>
      </c>
    </row>
    <row r="957" spans="1:2" x14ac:dyDescent="0.3">
      <c r="A957" s="2" t="s">
        <v>1201</v>
      </c>
      <c r="B957" s="2" t="s">
        <v>1278</v>
      </c>
    </row>
    <row r="958" spans="1:2" x14ac:dyDescent="0.3">
      <c r="A958" s="2" t="s">
        <v>1202</v>
      </c>
      <c r="B958" s="2" t="s">
        <v>1278</v>
      </c>
    </row>
    <row r="959" spans="1:2" x14ac:dyDescent="0.3">
      <c r="A959" s="2" t="s">
        <v>1203</v>
      </c>
      <c r="B959" s="2" t="s">
        <v>1278</v>
      </c>
    </row>
    <row r="960" spans="1:2" x14ac:dyDescent="0.3">
      <c r="A960" s="2" t="s">
        <v>1204</v>
      </c>
      <c r="B960" s="2" t="s">
        <v>1278</v>
      </c>
    </row>
    <row r="961" spans="1:2" x14ac:dyDescent="0.3">
      <c r="A961" s="2" t="s">
        <v>1205</v>
      </c>
      <c r="B961" s="2" t="s">
        <v>1278</v>
      </c>
    </row>
    <row r="962" spans="1:2" x14ac:dyDescent="0.3">
      <c r="A962" s="2" t="s">
        <v>1206</v>
      </c>
      <c r="B962" s="2" t="s">
        <v>1278</v>
      </c>
    </row>
    <row r="963" spans="1:2" x14ac:dyDescent="0.3">
      <c r="A963" s="2" t="s">
        <v>1207</v>
      </c>
      <c r="B963" s="2" t="s">
        <v>1278</v>
      </c>
    </row>
    <row r="964" spans="1:2" x14ac:dyDescent="0.3">
      <c r="A964" s="2" t="s">
        <v>1208</v>
      </c>
      <c r="B964" s="2" t="s">
        <v>1278</v>
      </c>
    </row>
    <row r="965" spans="1:2" x14ac:dyDescent="0.3">
      <c r="A965" s="2" t="s">
        <v>1209</v>
      </c>
      <c r="B965" s="2" t="s">
        <v>1278</v>
      </c>
    </row>
    <row r="966" spans="1:2" x14ac:dyDescent="0.3">
      <c r="A966" s="2" t="s">
        <v>1210</v>
      </c>
      <c r="B966" s="2" t="s">
        <v>1279</v>
      </c>
    </row>
    <row r="967" spans="1:2" x14ac:dyDescent="0.3">
      <c r="A967" s="2" t="s">
        <v>1211</v>
      </c>
      <c r="B967" s="2" t="s">
        <v>1278</v>
      </c>
    </row>
    <row r="968" spans="1:2" x14ac:dyDescent="0.3">
      <c r="A968" s="2" t="s">
        <v>1212</v>
      </c>
      <c r="B968" s="2" t="s">
        <v>1278</v>
      </c>
    </row>
    <row r="969" spans="1:2" x14ac:dyDescent="0.3">
      <c r="A969" s="2" t="s">
        <v>1213</v>
      </c>
      <c r="B969" s="2" t="s">
        <v>1278</v>
      </c>
    </row>
    <row r="970" spans="1:2" x14ac:dyDescent="0.3">
      <c r="A970" s="2" t="s">
        <v>1214</v>
      </c>
      <c r="B970" s="2" t="s">
        <v>1278</v>
      </c>
    </row>
    <row r="971" spans="1:2" x14ac:dyDescent="0.3">
      <c r="A971" s="2" t="s">
        <v>1215</v>
      </c>
      <c r="B971" s="2" t="s">
        <v>1278</v>
      </c>
    </row>
    <row r="972" spans="1:2" x14ac:dyDescent="0.3">
      <c r="A972" s="2" t="s">
        <v>1216</v>
      </c>
      <c r="B972" s="2" t="s">
        <v>1278</v>
      </c>
    </row>
    <row r="973" spans="1:2" x14ac:dyDescent="0.3">
      <c r="A973" s="2" t="s">
        <v>1217</v>
      </c>
      <c r="B973" s="2" t="s">
        <v>1278</v>
      </c>
    </row>
    <row r="974" spans="1:2" x14ac:dyDescent="0.3">
      <c r="A974" s="2" t="s">
        <v>1218</v>
      </c>
      <c r="B974" s="2" t="s">
        <v>1279</v>
      </c>
    </row>
    <row r="975" spans="1:2" x14ac:dyDescent="0.3">
      <c r="A975" s="2" t="s">
        <v>1219</v>
      </c>
      <c r="B975" s="2" t="s">
        <v>1278</v>
      </c>
    </row>
    <row r="976" spans="1:2" x14ac:dyDescent="0.3">
      <c r="A976" s="2" t="s">
        <v>1220</v>
      </c>
      <c r="B976" s="2" t="s">
        <v>1278</v>
      </c>
    </row>
    <row r="977" spans="1:2" x14ac:dyDescent="0.3">
      <c r="A977" s="2" t="s">
        <v>1221</v>
      </c>
      <c r="B977" s="2" t="s">
        <v>1278</v>
      </c>
    </row>
    <row r="978" spans="1:2" x14ac:dyDescent="0.3">
      <c r="A978" s="2" t="s">
        <v>1222</v>
      </c>
      <c r="B978" s="2" t="s">
        <v>1278</v>
      </c>
    </row>
    <row r="979" spans="1:2" x14ac:dyDescent="0.3">
      <c r="A979" s="2" t="s">
        <v>1223</v>
      </c>
      <c r="B979" s="2" t="s">
        <v>1278</v>
      </c>
    </row>
    <row r="980" spans="1:2" x14ac:dyDescent="0.3">
      <c r="A980" s="2" t="s">
        <v>1224</v>
      </c>
      <c r="B980" s="2" t="s">
        <v>1278</v>
      </c>
    </row>
    <row r="981" spans="1:2" x14ac:dyDescent="0.3">
      <c r="A981" s="2" t="s">
        <v>1225</v>
      </c>
      <c r="B981" s="2" t="s">
        <v>1278</v>
      </c>
    </row>
    <row r="982" spans="1:2" x14ac:dyDescent="0.3">
      <c r="A982" s="2" t="s">
        <v>1226</v>
      </c>
      <c r="B982" s="2" t="s">
        <v>1278</v>
      </c>
    </row>
    <row r="983" spans="1:2" x14ac:dyDescent="0.3">
      <c r="A983" s="2" t="s">
        <v>1227</v>
      </c>
      <c r="B983" s="2" t="s">
        <v>1278</v>
      </c>
    </row>
    <row r="984" spans="1:2" x14ac:dyDescent="0.3">
      <c r="A984" s="2" t="s">
        <v>1228</v>
      </c>
      <c r="B984" s="2" t="s">
        <v>1278</v>
      </c>
    </row>
    <row r="985" spans="1:2" x14ac:dyDescent="0.3">
      <c r="A985" s="2" t="s">
        <v>1229</v>
      </c>
      <c r="B985" s="2" t="s">
        <v>1278</v>
      </c>
    </row>
    <row r="986" spans="1:2" x14ac:dyDescent="0.3">
      <c r="A986" s="2" t="s">
        <v>1230</v>
      </c>
      <c r="B986" s="2" t="s">
        <v>1278</v>
      </c>
    </row>
    <row r="987" spans="1:2" x14ac:dyDescent="0.3">
      <c r="A987" s="2" t="s">
        <v>1231</v>
      </c>
      <c r="B987" s="2" t="s">
        <v>1278</v>
      </c>
    </row>
    <row r="988" spans="1:2" x14ac:dyDescent="0.3">
      <c r="A988" s="2" t="s">
        <v>1232</v>
      </c>
      <c r="B988" s="2" t="s">
        <v>1278</v>
      </c>
    </row>
    <row r="989" spans="1:2" x14ac:dyDescent="0.3">
      <c r="A989" s="2" t="s">
        <v>1233</v>
      </c>
      <c r="B989" s="2" t="s">
        <v>1278</v>
      </c>
    </row>
    <row r="990" spans="1:2" x14ac:dyDescent="0.3">
      <c r="A990" s="2" t="s">
        <v>1234</v>
      </c>
      <c r="B990" s="2" t="s">
        <v>1278</v>
      </c>
    </row>
    <row r="991" spans="1:2" x14ac:dyDescent="0.3">
      <c r="A991" s="2" t="s">
        <v>1235</v>
      </c>
      <c r="B991" s="2" t="s">
        <v>1278</v>
      </c>
    </row>
    <row r="992" spans="1:2" x14ac:dyDescent="0.3">
      <c r="A992" s="2" t="s">
        <v>1236</v>
      </c>
      <c r="B992" s="2" t="s">
        <v>1278</v>
      </c>
    </row>
    <row r="993" spans="1:2" x14ac:dyDescent="0.3">
      <c r="A993" s="2" t="s">
        <v>1237</v>
      </c>
      <c r="B993" s="2" t="s">
        <v>1279</v>
      </c>
    </row>
    <row r="994" spans="1:2" x14ac:dyDescent="0.3">
      <c r="A994" s="2" t="s">
        <v>1238</v>
      </c>
      <c r="B994" s="2" t="s">
        <v>1278</v>
      </c>
    </row>
    <row r="995" spans="1:2" x14ac:dyDescent="0.3">
      <c r="A995" s="2" t="s">
        <v>1239</v>
      </c>
      <c r="B995" s="2" t="s">
        <v>1278</v>
      </c>
    </row>
    <row r="996" spans="1:2" x14ac:dyDescent="0.3">
      <c r="A996" s="2" t="s">
        <v>1240</v>
      </c>
      <c r="B996" s="2" t="s">
        <v>1278</v>
      </c>
    </row>
    <row r="997" spans="1:2" x14ac:dyDescent="0.3">
      <c r="A997" s="2" t="s">
        <v>1241</v>
      </c>
      <c r="B997" s="2" t="s">
        <v>1278</v>
      </c>
    </row>
    <row r="998" spans="1:2" x14ac:dyDescent="0.3">
      <c r="A998" s="2" t="s">
        <v>1242</v>
      </c>
      <c r="B998" s="2" t="s">
        <v>1278</v>
      </c>
    </row>
    <row r="999" spans="1:2" x14ac:dyDescent="0.3">
      <c r="A999" s="2" t="s">
        <v>1243</v>
      </c>
      <c r="B999" s="2" t="s">
        <v>1278</v>
      </c>
    </row>
    <row r="1000" spans="1:2" x14ac:dyDescent="0.3">
      <c r="A1000" s="2" t="s">
        <v>1244</v>
      </c>
      <c r="B1000" s="2" t="s">
        <v>1278</v>
      </c>
    </row>
    <row r="1001" spans="1:2" x14ac:dyDescent="0.3">
      <c r="A1001" s="2" t="s">
        <v>1245</v>
      </c>
      <c r="B1001" s="2" t="s">
        <v>1278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CB8B-F8AD-4DD8-B2E1-91608DDAB92F}">
  <dimension ref="A3:B8"/>
  <sheetViews>
    <sheetView workbookViewId="0">
      <selection activeCell="N21" sqref="N21"/>
    </sheetView>
  </sheetViews>
  <sheetFormatPr defaultRowHeight="14.4" x14ac:dyDescent="0.3"/>
  <cols>
    <col min="1" max="1" width="12.5546875" bestFit="1" customWidth="1"/>
    <col min="2" max="2" width="11.6640625" bestFit="1" customWidth="1"/>
  </cols>
  <sheetData>
    <row r="3" spans="1:2" x14ac:dyDescent="0.3">
      <c r="A3" s="12" t="s">
        <v>1285</v>
      </c>
      <c r="B3" t="s">
        <v>1284</v>
      </c>
    </row>
    <row r="4" spans="1:2" x14ac:dyDescent="0.3">
      <c r="A4" s="13" t="s">
        <v>53</v>
      </c>
      <c r="B4" s="2">
        <v>814238</v>
      </c>
    </row>
    <row r="5" spans="1:2" x14ac:dyDescent="0.3">
      <c r="A5" s="13" t="s">
        <v>20</v>
      </c>
      <c r="B5" s="2">
        <v>673620</v>
      </c>
    </row>
    <row r="6" spans="1:2" x14ac:dyDescent="0.3">
      <c r="A6" s="13" t="s">
        <v>11</v>
      </c>
      <c r="B6" s="2">
        <v>2412106</v>
      </c>
    </row>
    <row r="7" spans="1:2" x14ac:dyDescent="0.3">
      <c r="A7" s="13" t="s">
        <v>36</v>
      </c>
      <c r="B7" s="2">
        <v>2328675</v>
      </c>
    </row>
    <row r="8" spans="1:2" x14ac:dyDescent="0.3">
      <c r="A8" s="13" t="s">
        <v>1298</v>
      </c>
      <c r="B8" s="2">
        <v>6228639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DA39-5F2F-4AB7-8FBA-0B2AC6C6ED03}">
  <dimension ref="A3:N20"/>
  <sheetViews>
    <sheetView workbookViewId="0">
      <selection activeCell="G20" sqref="G20"/>
    </sheetView>
  </sheetViews>
  <sheetFormatPr defaultRowHeight="14.4" x14ac:dyDescent="0.3"/>
  <cols>
    <col min="1" max="1" width="12.5546875" bestFit="1" customWidth="1"/>
    <col min="2" max="2" width="11.6640625" bestFit="1" customWidth="1"/>
  </cols>
  <sheetData>
    <row r="3" spans="1:14" x14ac:dyDescent="0.3">
      <c r="A3" s="12" t="s">
        <v>1285</v>
      </c>
      <c r="B3" t="s">
        <v>1284</v>
      </c>
      <c r="L3" s="3"/>
      <c r="M3" s="4"/>
      <c r="N3" s="5"/>
    </row>
    <row r="4" spans="1:14" x14ac:dyDescent="0.3">
      <c r="A4" s="13" t="s">
        <v>1267</v>
      </c>
      <c r="B4" s="2">
        <v>779730</v>
      </c>
      <c r="L4" s="6"/>
      <c r="M4" s="7"/>
      <c r="N4" s="8"/>
    </row>
    <row r="5" spans="1:14" x14ac:dyDescent="0.3">
      <c r="A5" s="13" t="s">
        <v>1270</v>
      </c>
      <c r="B5" s="2">
        <v>379309</v>
      </c>
      <c r="L5" s="6"/>
      <c r="M5" s="7"/>
      <c r="N5" s="8"/>
    </row>
    <row r="6" spans="1:14" x14ac:dyDescent="0.3">
      <c r="A6" s="13" t="s">
        <v>1272</v>
      </c>
      <c r="B6" s="2">
        <v>761376</v>
      </c>
      <c r="L6" s="6"/>
      <c r="M6" s="7"/>
      <c r="N6" s="8"/>
    </row>
    <row r="7" spans="1:14" x14ac:dyDescent="0.3">
      <c r="A7" s="13" t="s">
        <v>1259</v>
      </c>
      <c r="B7" s="2">
        <v>839250</v>
      </c>
      <c r="L7" s="6"/>
      <c r="M7" s="7"/>
      <c r="N7" s="8"/>
    </row>
    <row r="8" spans="1:14" x14ac:dyDescent="0.3">
      <c r="A8" s="13" t="s">
        <v>1265</v>
      </c>
      <c r="B8" s="2">
        <v>1153677</v>
      </c>
      <c r="L8" s="6"/>
      <c r="M8" s="7"/>
      <c r="N8" s="8"/>
    </row>
    <row r="9" spans="1:14" x14ac:dyDescent="0.3">
      <c r="A9" s="13" t="s">
        <v>1273</v>
      </c>
      <c r="B9" s="2">
        <v>307296</v>
      </c>
      <c r="L9" s="6"/>
      <c r="M9" s="7"/>
      <c r="N9" s="8"/>
    </row>
    <row r="10" spans="1:14" x14ac:dyDescent="0.3">
      <c r="A10" s="13" t="s">
        <v>1253</v>
      </c>
      <c r="B10" s="2">
        <v>189652</v>
      </c>
      <c r="L10" s="6"/>
      <c r="M10" s="7"/>
      <c r="N10" s="8"/>
    </row>
    <row r="11" spans="1:14" x14ac:dyDescent="0.3">
      <c r="A11" s="13" t="s">
        <v>1276</v>
      </c>
      <c r="B11" s="2">
        <v>408312</v>
      </c>
      <c r="L11" s="6"/>
      <c r="M11" s="7"/>
      <c r="N11" s="8"/>
    </row>
    <row r="12" spans="1:14" x14ac:dyDescent="0.3">
      <c r="A12" s="13" t="s">
        <v>1269</v>
      </c>
      <c r="B12" s="2">
        <v>204079</v>
      </c>
      <c r="L12" s="6"/>
      <c r="M12" s="7"/>
      <c r="N12" s="8"/>
    </row>
    <row r="13" spans="1:14" x14ac:dyDescent="0.3">
      <c r="A13" s="13" t="s">
        <v>1264</v>
      </c>
      <c r="B13" s="2">
        <v>206668</v>
      </c>
      <c r="L13" s="6"/>
      <c r="M13" s="7"/>
      <c r="N13" s="8"/>
    </row>
    <row r="14" spans="1:14" x14ac:dyDescent="0.3">
      <c r="A14" s="13" t="s">
        <v>1298</v>
      </c>
      <c r="B14" s="2">
        <v>5229349</v>
      </c>
      <c r="L14" s="6"/>
      <c r="M14" s="7"/>
      <c r="N14" s="8"/>
    </row>
    <row r="15" spans="1:14" x14ac:dyDescent="0.3">
      <c r="L15" s="6"/>
      <c r="M15" s="7"/>
      <c r="N15" s="8"/>
    </row>
    <row r="16" spans="1:14" x14ac:dyDescent="0.3">
      <c r="L16" s="6"/>
      <c r="M16" s="7"/>
      <c r="N16" s="8"/>
    </row>
    <row r="17" spans="12:14" x14ac:dyDescent="0.3">
      <c r="L17" s="6"/>
      <c r="M17" s="7"/>
      <c r="N17" s="8"/>
    </row>
    <row r="18" spans="12:14" x14ac:dyDescent="0.3">
      <c r="L18" s="6"/>
      <c r="M18" s="7"/>
      <c r="N18" s="8"/>
    </row>
    <row r="19" spans="12:14" x14ac:dyDescent="0.3">
      <c r="L19" s="6"/>
      <c r="M19" s="7"/>
      <c r="N19" s="8"/>
    </row>
    <row r="20" spans="12:14" x14ac:dyDescent="0.3">
      <c r="L20" s="9"/>
      <c r="M20" s="10"/>
      <c r="N20" s="11"/>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B216-564F-439D-A9D5-79D4E55FF07B}">
  <dimension ref="A3:B7"/>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12" t="s">
        <v>1285</v>
      </c>
      <c r="B3" t="s">
        <v>1284</v>
      </c>
    </row>
    <row r="4" spans="1:2" x14ac:dyDescent="0.3">
      <c r="A4" s="13" t="s">
        <v>21</v>
      </c>
      <c r="B4" s="2">
        <v>1323211</v>
      </c>
    </row>
    <row r="5" spans="1:2" x14ac:dyDescent="0.3">
      <c r="A5" s="13" t="s">
        <v>12</v>
      </c>
      <c r="B5" s="2">
        <v>2455772</v>
      </c>
    </row>
    <row r="6" spans="1:2" x14ac:dyDescent="0.3">
      <c r="A6" s="13" t="s">
        <v>26</v>
      </c>
      <c r="B6" s="2">
        <v>2449656</v>
      </c>
    </row>
    <row r="7" spans="1:2" x14ac:dyDescent="0.3">
      <c r="A7" s="13" t="s">
        <v>1298</v>
      </c>
      <c r="B7" s="2">
        <v>6228639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F823-4616-4D3E-ABA4-F0746D9B08E7}">
  <dimension ref="A3:O25"/>
  <sheetViews>
    <sheetView workbookViewId="0">
      <selection activeCell="B4" sqref="B4"/>
    </sheetView>
  </sheetViews>
  <sheetFormatPr defaultRowHeight="14.4" x14ac:dyDescent="0.3"/>
  <cols>
    <col min="1" max="1" width="12.5546875" bestFit="1" customWidth="1"/>
    <col min="2" max="2" width="11.6640625" bestFit="1" customWidth="1"/>
  </cols>
  <sheetData>
    <row r="3" spans="1:15" x14ac:dyDescent="0.3">
      <c r="A3" s="12" t="s">
        <v>1285</v>
      </c>
      <c r="B3" t="s">
        <v>1284</v>
      </c>
    </row>
    <row r="4" spans="1:15" x14ac:dyDescent="0.3">
      <c r="A4" s="13" t="s">
        <v>1251</v>
      </c>
      <c r="B4" s="2">
        <v>1111422</v>
      </c>
    </row>
    <row r="5" spans="1:15" x14ac:dyDescent="0.3">
      <c r="A5" s="13" t="s">
        <v>1254</v>
      </c>
      <c r="B5" s="2">
        <v>5117217</v>
      </c>
    </row>
    <row r="6" spans="1:15" x14ac:dyDescent="0.3">
      <c r="A6" s="13" t="s">
        <v>1298</v>
      </c>
      <c r="B6" s="2">
        <v>6228639</v>
      </c>
    </row>
    <row r="8" spans="1:15" x14ac:dyDescent="0.3">
      <c r="M8" s="3"/>
      <c r="N8" s="4"/>
      <c r="O8" s="5"/>
    </row>
    <row r="9" spans="1:15" x14ac:dyDescent="0.3">
      <c r="M9" s="6"/>
      <c r="N9" s="7"/>
      <c r="O9" s="8"/>
    </row>
    <row r="10" spans="1:15" x14ac:dyDescent="0.3">
      <c r="M10" s="6"/>
      <c r="N10" s="7"/>
      <c r="O10" s="8"/>
    </row>
    <row r="11" spans="1:15" x14ac:dyDescent="0.3">
      <c r="M11" s="6"/>
      <c r="N11" s="7"/>
      <c r="O11" s="8"/>
    </row>
    <row r="12" spans="1:15" x14ac:dyDescent="0.3">
      <c r="M12" s="6"/>
      <c r="N12" s="7"/>
      <c r="O12" s="8"/>
    </row>
    <row r="13" spans="1:15" x14ac:dyDescent="0.3">
      <c r="M13" s="6"/>
      <c r="N13" s="7"/>
      <c r="O13" s="8"/>
    </row>
    <row r="14" spans="1:15" x14ac:dyDescent="0.3">
      <c r="M14" s="6"/>
      <c r="N14" s="7"/>
      <c r="O14" s="8"/>
    </row>
    <row r="15" spans="1:15" x14ac:dyDescent="0.3">
      <c r="M15" s="6"/>
      <c r="N15" s="7"/>
      <c r="O15" s="8"/>
    </row>
    <row r="16" spans="1:15" x14ac:dyDescent="0.3">
      <c r="M16" s="6"/>
      <c r="N16" s="7"/>
      <c r="O16" s="8"/>
    </row>
    <row r="17" spans="13:15" x14ac:dyDescent="0.3">
      <c r="M17" s="6"/>
      <c r="N17" s="7"/>
      <c r="O17" s="8"/>
    </row>
    <row r="18" spans="13:15" x14ac:dyDescent="0.3">
      <c r="M18" s="6"/>
      <c r="N18" s="7"/>
      <c r="O18" s="8"/>
    </row>
    <row r="19" spans="13:15" x14ac:dyDescent="0.3">
      <c r="M19" s="6"/>
      <c r="N19" s="7"/>
      <c r="O19" s="8"/>
    </row>
    <row r="20" spans="13:15" x14ac:dyDescent="0.3">
      <c r="M20" s="6"/>
      <c r="N20" s="7"/>
      <c r="O20" s="8"/>
    </row>
    <row r="21" spans="13:15" x14ac:dyDescent="0.3">
      <c r="M21" s="6"/>
      <c r="N21" s="7"/>
      <c r="O21" s="8"/>
    </row>
    <row r="22" spans="13:15" x14ac:dyDescent="0.3">
      <c r="M22" s="6"/>
      <c r="N22" s="7"/>
      <c r="O22" s="8"/>
    </row>
    <row r="23" spans="13:15" x14ac:dyDescent="0.3">
      <c r="M23" s="6"/>
      <c r="N23" s="7"/>
      <c r="O23" s="8"/>
    </row>
    <row r="24" spans="13:15" x14ac:dyDescent="0.3">
      <c r="M24" s="6"/>
      <c r="N24" s="7"/>
      <c r="O24" s="8"/>
    </row>
    <row r="25" spans="13:15" x14ac:dyDescent="0.3">
      <c r="M25" s="9"/>
      <c r="N25" s="10"/>
      <c r="O25" s="1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091F-8835-4085-86C0-A9ECAE17EC70}">
  <dimension ref="A3:B6"/>
  <sheetViews>
    <sheetView workbookViewId="0">
      <selection activeCell="Q13" sqref="Q13"/>
    </sheetView>
  </sheetViews>
  <sheetFormatPr defaultRowHeight="14.4" x14ac:dyDescent="0.3"/>
  <cols>
    <col min="1" max="1" width="12.5546875" bestFit="1" customWidth="1"/>
    <col min="2" max="2" width="16.44140625" bestFit="1" customWidth="1"/>
  </cols>
  <sheetData>
    <row r="3" spans="1:2" x14ac:dyDescent="0.3">
      <c r="A3" s="12" t="s">
        <v>1285</v>
      </c>
      <c r="B3" t="s">
        <v>1300</v>
      </c>
    </row>
    <row r="4" spans="1:2" x14ac:dyDescent="0.3">
      <c r="A4" s="13" t="s">
        <v>1278</v>
      </c>
      <c r="B4" s="2">
        <v>96</v>
      </c>
    </row>
    <row r="5" spans="1:2" x14ac:dyDescent="0.3">
      <c r="A5" s="13" t="s">
        <v>1279</v>
      </c>
      <c r="B5" s="2">
        <v>96</v>
      </c>
    </row>
    <row r="6" spans="1:2" x14ac:dyDescent="0.3">
      <c r="A6" s="13" t="s">
        <v>1298</v>
      </c>
      <c r="B6" s="2">
        <v>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AD9F-BD17-49BF-9483-C681D674BD67}">
  <dimension ref="B4:M28"/>
  <sheetViews>
    <sheetView topLeftCell="A10" workbookViewId="0">
      <selection activeCell="K8" sqref="K8"/>
    </sheetView>
  </sheetViews>
  <sheetFormatPr defaultRowHeight="14.4" x14ac:dyDescent="0.3"/>
  <cols>
    <col min="2" max="2" width="12.5546875" bestFit="1" customWidth="1"/>
    <col min="3" max="3" width="11.6640625" bestFit="1" customWidth="1"/>
    <col min="5" max="5" width="11" bestFit="1" customWidth="1"/>
    <col min="7" max="7" width="12.5546875" bestFit="1" customWidth="1"/>
    <col min="8" max="8" width="12.109375" bestFit="1" customWidth="1"/>
    <col min="10" max="10" width="12.5546875" bestFit="1" customWidth="1"/>
    <col min="11" max="11" width="11.6640625" bestFit="1" customWidth="1"/>
  </cols>
  <sheetData>
    <row r="4" spans="2:13" x14ac:dyDescent="0.3">
      <c r="B4" s="12" t="s">
        <v>1285</v>
      </c>
      <c r="C4" t="s">
        <v>1284</v>
      </c>
      <c r="E4" s="15">
        <f>SUM(Orders!F:F)</f>
        <v>68871275</v>
      </c>
      <c r="G4" s="12" t="s">
        <v>1285</v>
      </c>
      <c r="H4" t="s">
        <v>1299</v>
      </c>
      <c r="J4" s="16"/>
    </row>
    <row r="5" spans="2:13" x14ac:dyDescent="0.3">
      <c r="B5" s="13" t="s">
        <v>1286</v>
      </c>
      <c r="C5" s="2">
        <v>5612793</v>
      </c>
      <c r="G5" s="13" t="s">
        <v>1286</v>
      </c>
      <c r="H5" s="2">
        <v>896163.16</v>
      </c>
    </row>
    <row r="6" spans="2:13" x14ac:dyDescent="0.3">
      <c r="B6" s="13" t="s">
        <v>1287</v>
      </c>
      <c r="C6" s="2">
        <v>5806774</v>
      </c>
      <c r="G6" s="13" t="s">
        <v>1287</v>
      </c>
      <c r="H6" s="2">
        <v>1007138.9999999999</v>
      </c>
    </row>
    <row r="7" spans="2:13" x14ac:dyDescent="0.3">
      <c r="B7" s="13" t="s">
        <v>1288</v>
      </c>
      <c r="C7" s="2">
        <v>7018340</v>
      </c>
      <c r="E7">
        <f>SUM(Orders!G:G)</f>
        <v>11366565.600000013</v>
      </c>
      <c r="G7" s="13" t="s">
        <v>1288</v>
      </c>
      <c r="H7" s="2">
        <v>1122442.4500000004</v>
      </c>
    </row>
    <row r="8" spans="2:13" x14ac:dyDescent="0.3">
      <c r="B8" s="13" t="s">
        <v>1289</v>
      </c>
      <c r="C8" s="2">
        <v>4211063</v>
      </c>
      <c r="G8" s="13" t="s">
        <v>1289</v>
      </c>
      <c r="H8" s="2">
        <v>707760.06</v>
      </c>
    </row>
    <row r="9" spans="2:13" x14ac:dyDescent="0.3">
      <c r="B9" s="13" t="s">
        <v>1290</v>
      </c>
      <c r="C9" s="2">
        <v>6228639</v>
      </c>
      <c r="E9">
        <f>COUNTA(Orders!A:A)-1</f>
        <v>1000</v>
      </c>
      <c r="G9" s="13" t="s">
        <v>1290</v>
      </c>
      <c r="H9" s="2">
        <v>1061846.95</v>
      </c>
    </row>
    <row r="10" spans="2:13" x14ac:dyDescent="0.3">
      <c r="B10" s="13" t="s">
        <v>1291</v>
      </c>
      <c r="C10" s="2">
        <v>4224834</v>
      </c>
      <c r="G10" s="13" t="s">
        <v>1291</v>
      </c>
      <c r="H10" s="2">
        <v>696198.28000000026</v>
      </c>
    </row>
    <row r="11" spans="2:13" x14ac:dyDescent="0.3">
      <c r="B11" s="13" t="s">
        <v>1292</v>
      </c>
      <c r="C11" s="2">
        <v>6274616</v>
      </c>
      <c r="G11" s="13" t="s">
        <v>1292</v>
      </c>
      <c r="H11" s="2">
        <v>997191.66999999981</v>
      </c>
      <c r="K11" s="3"/>
      <c r="L11" s="4"/>
      <c r="M11" s="5"/>
    </row>
    <row r="12" spans="2:13" x14ac:dyDescent="0.3">
      <c r="B12" s="13" t="s">
        <v>1293</v>
      </c>
      <c r="C12" s="2">
        <v>4929801</v>
      </c>
      <c r="E12">
        <f>AVERAGE(Orders!F:F)</f>
        <v>68871.274999999994</v>
      </c>
      <c r="G12" s="13" t="s">
        <v>1293</v>
      </c>
      <c r="H12" s="2">
        <v>846930.81</v>
      </c>
      <c r="K12" s="6"/>
      <c r="L12" s="7"/>
      <c r="M12" s="8"/>
    </row>
    <row r="13" spans="2:13" x14ac:dyDescent="0.3">
      <c r="B13" s="13" t="s">
        <v>1294</v>
      </c>
      <c r="C13" s="2">
        <v>5778966</v>
      </c>
      <c r="G13" s="13" t="s">
        <v>1294</v>
      </c>
      <c r="H13" s="2">
        <v>959478.31999999983</v>
      </c>
      <c r="K13" s="6"/>
      <c r="L13" s="7"/>
      <c r="M13" s="8"/>
    </row>
    <row r="14" spans="2:13" x14ac:dyDescent="0.3">
      <c r="B14" s="13" t="s">
        <v>1295</v>
      </c>
      <c r="C14" s="2">
        <v>6761972</v>
      </c>
      <c r="E14">
        <f>SUM(Orders!E:E)</f>
        <v>3011</v>
      </c>
      <c r="G14" s="13" t="s">
        <v>1295</v>
      </c>
      <c r="H14" s="2">
        <v>1080079.8500000006</v>
      </c>
      <c r="K14" s="6"/>
      <c r="L14" s="7"/>
      <c r="M14" s="8"/>
    </row>
    <row r="15" spans="2:13" x14ac:dyDescent="0.3">
      <c r="B15" s="13" t="s">
        <v>1296</v>
      </c>
      <c r="C15" s="2">
        <v>6067924</v>
      </c>
      <c r="E15">
        <f>SUM(Orders[Quantity])</f>
        <v>3011</v>
      </c>
      <c r="G15" s="13" t="s">
        <v>1296</v>
      </c>
      <c r="H15" s="2">
        <v>1028974.3000000002</v>
      </c>
      <c r="K15" s="6"/>
      <c r="L15" s="7"/>
      <c r="M15" s="8"/>
    </row>
    <row r="16" spans="2:13" x14ac:dyDescent="0.3">
      <c r="B16" s="13" t="s">
        <v>1297</v>
      </c>
      <c r="C16" s="2">
        <v>5955553</v>
      </c>
      <c r="G16" s="13" t="s">
        <v>1297</v>
      </c>
      <c r="H16" s="2">
        <v>962360.75</v>
      </c>
      <c r="K16" s="6"/>
      <c r="L16" s="7"/>
      <c r="M16" s="8"/>
    </row>
    <row r="17" spans="2:13" x14ac:dyDescent="0.3">
      <c r="B17" s="13" t="s">
        <v>1298</v>
      </c>
      <c r="C17" s="2">
        <v>68871275</v>
      </c>
      <c r="G17" s="13" t="s">
        <v>1298</v>
      </c>
      <c r="H17" s="2">
        <v>11366565.600000001</v>
      </c>
      <c r="K17" s="6"/>
      <c r="L17" s="7"/>
      <c r="M17" s="8"/>
    </row>
    <row r="18" spans="2:13" x14ac:dyDescent="0.3">
      <c r="K18" s="6"/>
      <c r="L18" s="7"/>
      <c r="M18" s="8"/>
    </row>
    <row r="19" spans="2:13" x14ac:dyDescent="0.3">
      <c r="K19" s="6"/>
      <c r="L19" s="7"/>
      <c r="M19" s="8"/>
    </row>
    <row r="20" spans="2:13" x14ac:dyDescent="0.3">
      <c r="K20" s="6"/>
      <c r="L20" s="7"/>
      <c r="M20" s="8"/>
    </row>
    <row r="21" spans="2:13" x14ac:dyDescent="0.3">
      <c r="K21" s="6"/>
      <c r="L21" s="7"/>
      <c r="M21" s="8"/>
    </row>
    <row r="22" spans="2:13" x14ac:dyDescent="0.3">
      <c r="K22" s="6"/>
      <c r="L22" s="7"/>
      <c r="M22" s="8"/>
    </row>
    <row r="23" spans="2:13" x14ac:dyDescent="0.3">
      <c r="K23" s="6"/>
      <c r="L23" s="7"/>
      <c r="M23" s="8"/>
    </row>
    <row r="24" spans="2:13" x14ac:dyDescent="0.3">
      <c r="K24" s="6"/>
      <c r="L24" s="7"/>
      <c r="M24" s="8"/>
    </row>
    <row r="25" spans="2:13" x14ac:dyDescent="0.3">
      <c r="K25" s="6"/>
      <c r="L25" s="7"/>
      <c r="M25" s="8"/>
    </row>
    <row r="26" spans="2:13" x14ac:dyDescent="0.3">
      <c r="K26" s="6"/>
      <c r="L26" s="7"/>
      <c r="M26" s="8"/>
    </row>
    <row r="27" spans="2:13" x14ac:dyDescent="0.3">
      <c r="K27" s="6"/>
      <c r="L27" s="7"/>
      <c r="M27" s="8"/>
    </row>
    <row r="28" spans="2:13" x14ac:dyDescent="0.3">
      <c r="K28" s="9"/>
      <c r="L28" s="10"/>
      <c r="M28" s="11"/>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04EC-3619-47B6-BECC-295E803784E3}">
  <dimension ref="A1:O61"/>
  <sheetViews>
    <sheetView tabSelected="1" topLeftCell="A47" zoomScale="86" workbookViewId="0">
      <selection activeCell="I59" sqref="I59"/>
    </sheetView>
  </sheetViews>
  <sheetFormatPr defaultRowHeight="14.4" x14ac:dyDescent="0.3"/>
  <sheetData>
    <row r="1" spans="1:15" ht="14.4" customHeight="1" x14ac:dyDescent="0.55000000000000004">
      <c r="A1" s="22" t="s">
        <v>1301</v>
      </c>
      <c r="B1" s="23"/>
      <c r="C1" s="23"/>
      <c r="D1" s="23"/>
      <c r="E1" s="23"/>
      <c r="F1" s="23"/>
      <c r="G1" s="23"/>
      <c r="H1" s="23"/>
      <c r="I1" s="23"/>
      <c r="J1" s="23"/>
      <c r="K1" s="23"/>
      <c r="L1" s="24"/>
      <c r="M1" s="21"/>
      <c r="N1" s="20"/>
      <c r="O1" s="20"/>
    </row>
    <row r="2" spans="1:15" ht="14.4" customHeight="1" thickBot="1" x14ac:dyDescent="0.6">
      <c r="A2" s="25"/>
      <c r="B2" s="26"/>
      <c r="C2" s="26"/>
      <c r="D2" s="26"/>
      <c r="E2" s="26"/>
      <c r="F2" s="26"/>
      <c r="G2" s="26"/>
      <c r="H2" s="26"/>
      <c r="I2" s="26"/>
      <c r="J2" s="26"/>
      <c r="K2" s="26"/>
      <c r="L2" s="27"/>
      <c r="M2" s="21"/>
      <c r="N2" s="20"/>
      <c r="O2" s="20"/>
    </row>
    <row r="3" spans="1:15" x14ac:dyDescent="0.3">
      <c r="A3" s="19"/>
      <c r="B3" s="19"/>
      <c r="C3" s="19"/>
      <c r="D3" s="19"/>
      <c r="E3" s="19"/>
      <c r="F3" s="19"/>
      <c r="G3" s="19"/>
      <c r="H3" s="19"/>
      <c r="I3" s="19"/>
      <c r="J3" s="19"/>
      <c r="K3" s="19"/>
      <c r="L3" s="19"/>
      <c r="M3" s="17"/>
      <c r="N3" s="17"/>
      <c r="O3" s="17"/>
    </row>
    <row r="4" spans="1:15" x14ac:dyDescent="0.3">
      <c r="A4" s="19"/>
      <c r="B4" s="19"/>
      <c r="C4" s="19"/>
      <c r="D4" s="19"/>
      <c r="E4" s="19"/>
      <c r="F4" s="19"/>
      <c r="G4" s="19"/>
      <c r="H4" s="19"/>
      <c r="I4" s="19"/>
      <c r="J4" s="19"/>
      <c r="K4" s="19"/>
      <c r="L4" s="19"/>
      <c r="M4" s="17"/>
      <c r="N4" s="17"/>
      <c r="O4" s="17"/>
    </row>
    <row r="5" spans="1:15" x14ac:dyDescent="0.3">
      <c r="A5" s="19"/>
      <c r="B5" s="19"/>
      <c r="C5" s="19"/>
      <c r="D5" s="19"/>
      <c r="E5" s="19"/>
      <c r="F5" s="19"/>
      <c r="G5" s="19"/>
      <c r="H5" s="19"/>
      <c r="I5" s="19"/>
      <c r="J5" s="19"/>
      <c r="K5" s="19"/>
      <c r="L5" s="19"/>
      <c r="M5" s="17"/>
      <c r="N5" s="17"/>
      <c r="O5" s="17"/>
    </row>
    <row r="6" spans="1:15" x14ac:dyDescent="0.3">
      <c r="A6" s="19"/>
      <c r="B6" s="19"/>
      <c r="C6" s="19"/>
      <c r="D6" s="19"/>
      <c r="E6" s="19"/>
      <c r="F6" s="19"/>
      <c r="G6" s="19"/>
      <c r="H6" s="19"/>
      <c r="I6" s="19"/>
      <c r="J6" s="19"/>
      <c r="K6" s="19"/>
      <c r="L6" s="19"/>
      <c r="M6" s="17"/>
      <c r="N6" s="17"/>
      <c r="O6" s="17"/>
    </row>
    <row r="7" spans="1:15" x14ac:dyDescent="0.3">
      <c r="A7" s="19"/>
      <c r="B7" s="19"/>
      <c r="C7" s="19"/>
      <c r="D7" s="19"/>
      <c r="E7" s="19"/>
      <c r="F7" s="19"/>
      <c r="G7" s="19"/>
      <c r="H7" s="19"/>
      <c r="I7" s="19"/>
      <c r="J7" s="19"/>
      <c r="K7" s="19"/>
      <c r="L7" s="19"/>
      <c r="M7" s="17"/>
      <c r="N7" s="17"/>
      <c r="O7" s="17"/>
    </row>
    <row r="8" spans="1:15" x14ac:dyDescent="0.3">
      <c r="A8" s="19"/>
      <c r="B8" s="19"/>
      <c r="C8" s="19"/>
      <c r="D8" s="19"/>
      <c r="E8" s="19"/>
      <c r="F8" s="19"/>
      <c r="G8" s="19"/>
      <c r="H8" s="19"/>
      <c r="I8" s="19"/>
      <c r="J8" s="19"/>
      <c r="K8" s="19"/>
      <c r="L8" s="19"/>
      <c r="M8" s="17"/>
      <c r="N8" s="17"/>
      <c r="O8" s="17"/>
    </row>
    <row r="9" spans="1:15" x14ac:dyDescent="0.3">
      <c r="A9" s="19"/>
      <c r="B9" s="19"/>
      <c r="C9" s="19"/>
      <c r="D9" s="19"/>
      <c r="E9" s="19"/>
      <c r="F9" s="19"/>
      <c r="G9" s="19"/>
      <c r="H9" s="19"/>
      <c r="I9" s="19"/>
      <c r="J9" s="19"/>
      <c r="K9" s="19"/>
      <c r="L9" s="19"/>
      <c r="M9" s="17"/>
      <c r="N9" s="17"/>
      <c r="O9" s="17"/>
    </row>
    <row r="10" spans="1:15" x14ac:dyDescent="0.3">
      <c r="A10" s="19"/>
      <c r="B10" s="19"/>
      <c r="C10" s="19"/>
      <c r="D10" s="19"/>
      <c r="E10" s="19"/>
      <c r="F10" s="19"/>
      <c r="G10" s="19"/>
      <c r="H10" s="19"/>
      <c r="I10" s="19"/>
      <c r="J10" s="19"/>
      <c r="K10" s="19"/>
      <c r="L10" s="19"/>
      <c r="M10" s="17"/>
      <c r="N10" s="17"/>
      <c r="O10" s="17"/>
    </row>
    <row r="11" spans="1:15" x14ac:dyDescent="0.3">
      <c r="A11" s="19"/>
      <c r="B11" s="19"/>
      <c r="C11" s="19"/>
      <c r="D11" s="19"/>
      <c r="E11" s="19"/>
      <c r="F11" s="19"/>
      <c r="G11" s="19"/>
      <c r="H11" s="19"/>
      <c r="I11" s="19"/>
      <c r="J11" s="19"/>
      <c r="K11" s="19"/>
      <c r="L11" s="19"/>
      <c r="M11" s="17"/>
      <c r="N11" s="17"/>
      <c r="O11" s="17"/>
    </row>
    <row r="12" spans="1:15" x14ac:dyDescent="0.3">
      <c r="A12" s="19"/>
      <c r="B12" s="19"/>
      <c r="C12" s="19"/>
      <c r="D12" s="19"/>
      <c r="E12" s="19"/>
      <c r="F12" s="19"/>
      <c r="G12" s="19"/>
      <c r="H12" s="19"/>
      <c r="I12" s="19"/>
      <c r="J12" s="19"/>
      <c r="K12" s="19"/>
      <c r="L12" s="19"/>
      <c r="M12" s="17"/>
      <c r="N12" s="17"/>
      <c r="O12" s="17"/>
    </row>
    <row r="13" spans="1:15" x14ac:dyDescent="0.3">
      <c r="A13" s="19"/>
      <c r="B13" s="19"/>
      <c r="C13" s="19"/>
      <c r="D13" s="19"/>
      <c r="E13" s="19"/>
      <c r="F13" s="19"/>
      <c r="G13" s="19"/>
      <c r="H13" s="19"/>
      <c r="I13" s="19"/>
      <c r="J13" s="19"/>
      <c r="K13" s="19"/>
      <c r="L13" s="19"/>
      <c r="M13" s="17"/>
      <c r="N13" s="17"/>
      <c r="O13" s="17"/>
    </row>
    <row r="14" spans="1:15" x14ac:dyDescent="0.3">
      <c r="A14" s="19"/>
      <c r="B14" s="19"/>
      <c r="C14" s="19"/>
      <c r="D14" s="19"/>
      <c r="E14" s="19"/>
      <c r="F14" s="19"/>
      <c r="G14" s="19"/>
      <c r="H14" s="19"/>
      <c r="I14" s="19"/>
      <c r="J14" s="19"/>
      <c r="K14" s="19"/>
      <c r="L14" s="19"/>
      <c r="M14" s="17"/>
      <c r="N14" s="17"/>
      <c r="O14" s="17"/>
    </row>
    <row r="15" spans="1:15" x14ac:dyDescent="0.3">
      <c r="A15" s="19"/>
      <c r="B15" s="19"/>
      <c r="C15" s="19"/>
      <c r="D15" s="19"/>
      <c r="E15" s="19"/>
      <c r="F15" s="19"/>
      <c r="G15" s="19"/>
      <c r="H15" s="19"/>
      <c r="I15" s="19"/>
      <c r="J15" s="19"/>
      <c r="K15" s="19"/>
      <c r="L15" s="19"/>
      <c r="M15" s="17"/>
      <c r="N15" s="17"/>
      <c r="O15" s="17"/>
    </row>
    <row r="16" spans="1:15" x14ac:dyDescent="0.3">
      <c r="A16" s="19"/>
      <c r="B16" s="19"/>
      <c r="C16" s="19"/>
      <c r="D16" s="19"/>
      <c r="E16" s="19"/>
      <c r="F16" s="19"/>
      <c r="G16" s="19"/>
      <c r="H16" s="19"/>
      <c r="I16" s="19"/>
      <c r="J16" s="19"/>
      <c r="K16" s="19"/>
      <c r="L16" s="19"/>
      <c r="M16" s="17"/>
      <c r="N16" s="17"/>
      <c r="O16" s="17"/>
    </row>
    <row r="17" spans="1:15" x14ac:dyDescent="0.3">
      <c r="A17" s="19"/>
      <c r="B17" s="19"/>
      <c r="C17" s="19"/>
      <c r="D17" s="19"/>
      <c r="E17" s="19"/>
      <c r="F17" s="19"/>
      <c r="G17" s="19"/>
      <c r="H17" s="19"/>
      <c r="I17" s="19"/>
      <c r="J17" s="19"/>
      <c r="K17" s="19"/>
      <c r="L17" s="19"/>
      <c r="M17" s="17"/>
      <c r="N17" s="17"/>
      <c r="O17" s="17"/>
    </row>
    <row r="18" spans="1:15" x14ac:dyDescent="0.3">
      <c r="A18" s="19"/>
      <c r="B18" s="19"/>
      <c r="C18" s="19"/>
      <c r="D18" s="19"/>
      <c r="E18" s="19"/>
      <c r="F18" s="19"/>
      <c r="G18" s="19"/>
      <c r="H18" s="19"/>
      <c r="I18" s="19"/>
      <c r="J18" s="19"/>
      <c r="K18" s="19"/>
      <c r="L18" s="19"/>
      <c r="M18" s="17"/>
      <c r="N18" s="17"/>
      <c r="O18" s="17"/>
    </row>
    <row r="19" spans="1:15" x14ac:dyDescent="0.3">
      <c r="A19" s="19"/>
      <c r="B19" s="19"/>
      <c r="C19" s="19"/>
      <c r="D19" s="19"/>
      <c r="E19" s="19"/>
      <c r="F19" s="19"/>
      <c r="G19" s="19"/>
      <c r="H19" s="19"/>
      <c r="I19" s="19"/>
      <c r="J19" s="19"/>
      <c r="K19" s="19"/>
      <c r="L19" s="19"/>
      <c r="M19" s="17"/>
      <c r="N19" s="17"/>
      <c r="O19" s="17"/>
    </row>
    <row r="20" spans="1:15" x14ac:dyDescent="0.3">
      <c r="A20" s="19"/>
      <c r="B20" s="19"/>
      <c r="C20" s="19"/>
      <c r="D20" s="19"/>
      <c r="E20" s="19"/>
      <c r="F20" s="19"/>
      <c r="G20" s="19"/>
      <c r="H20" s="19"/>
      <c r="I20" s="19"/>
      <c r="J20" s="19"/>
      <c r="K20" s="19"/>
      <c r="L20" s="19"/>
      <c r="M20" s="17"/>
      <c r="N20" s="17"/>
      <c r="O20" s="17"/>
    </row>
    <row r="21" spans="1:15" x14ac:dyDescent="0.3">
      <c r="A21" s="19"/>
      <c r="B21" s="19"/>
      <c r="C21" s="19"/>
      <c r="D21" s="19"/>
      <c r="E21" s="19"/>
      <c r="F21" s="19"/>
      <c r="G21" s="19"/>
      <c r="H21" s="19"/>
      <c r="I21" s="19"/>
      <c r="J21" s="19"/>
      <c r="K21" s="19"/>
      <c r="L21" s="19"/>
      <c r="M21" s="17"/>
      <c r="N21" s="17"/>
      <c r="O21" s="17"/>
    </row>
    <row r="22" spans="1:15" x14ac:dyDescent="0.3">
      <c r="A22" s="19"/>
      <c r="B22" s="19"/>
      <c r="C22" s="19"/>
      <c r="D22" s="19"/>
      <c r="E22" s="19"/>
      <c r="F22" s="19"/>
      <c r="G22" s="19"/>
      <c r="H22" s="19"/>
      <c r="I22" s="19"/>
      <c r="J22" s="19"/>
      <c r="K22" s="19"/>
      <c r="L22" s="19"/>
      <c r="M22" s="17"/>
      <c r="N22" s="17"/>
      <c r="O22" s="17"/>
    </row>
    <row r="23" spans="1:15" x14ac:dyDescent="0.3">
      <c r="A23" s="19"/>
      <c r="B23" s="19"/>
      <c r="C23" s="19"/>
      <c r="D23" s="19"/>
      <c r="E23" s="19"/>
      <c r="F23" s="19"/>
      <c r="G23" s="19"/>
      <c r="H23" s="19"/>
      <c r="I23" s="19"/>
      <c r="J23" s="19"/>
      <c r="K23" s="19"/>
      <c r="L23" s="19"/>
      <c r="M23" s="17"/>
      <c r="N23" s="17"/>
      <c r="O23" s="17"/>
    </row>
    <row r="24" spans="1:15" x14ac:dyDescent="0.3">
      <c r="A24" s="19"/>
      <c r="B24" s="19"/>
      <c r="C24" s="19"/>
      <c r="D24" s="19"/>
      <c r="E24" s="19"/>
      <c r="F24" s="19"/>
      <c r="G24" s="19"/>
      <c r="H24" s="19"/>
      <c r="I24" s="19"/>
      <c r="J24" s="19"/>
      <c r="K24" s="19"/>
      <c r="L24" s="19"/>
      <c r="M24" s="17"/>
      <c r="N24" s="17"/>
      <c r="O24" s="17"/>
    </row>
    <row r="25" spans="1:15" x14ac:dyDescent="0.3">
      <c r="A25" s="19"/>
      <c r="B25" s="19"/>
      <c r="C25" s="19"/>
      <c r="D25" s="19"/>
      <c r="E25" s="19"/>
      <c r="F25" s="19"/>
      <c r="G25" s="19"/>
      <c r="H25" s="19"/>
      <c r="I25" s="19"/>
      <c r="J25" s="19"/>
      <c r="K25" s="19"/>
      <c r="L25" s="19"/>
      <c r="M25" s="17"/>
      <c r="N25" s="17"/>
      <c r="O25" s="17"/>
    </row>
    <row r="26" spans="1:15" x14ac:dyDescent="0.3">
      <c r="A26" s="19"/>
      <c r="B26" s="19"/>
      <c r="C26" s="19"/>
      <c r="D26" s="19"/>
      <c r="E26" s="19"/>
      <c r="F26" s="19"/>
      <c r="G26" s="19"/>
      <c r="H26" s="19"/>
      <c r="I26" s="19"/>
      <c r="J26" s="19"/>
      <c r="K26" s="19"/>
      <c r="L26" s="19"/>
      <c r="M26" s="17"/>
      <c r="N26" s="17"/>
      <c r="O26" s="17"/>
    </row>
    <row r="27" spans="1:15" x14ac:dyDescent="0.3">
      <c r="A27" s="19"/>
      <c r="B27" s="19"/>
      <c r="C27" s="19"/>
      <c r="D27" s="19"/>
      <c r="E27" s="19"/>
      <c r="F27" s="19"/>
      <c r="G27" s="19"/>
      <c r="H27" s="19"/>
      <c r="I27" s="19"/>
      <c r="J27" s="19"/>
      <c r="K27" s="19"/>
      <c r="L27" s="19"/>
      <c r="M27" s="17"/>
      <c r="N27" s="17"/>
      <c r="O27" s="17"/>
    </row>
    <row r="28" spans="1:15" x14ac:dyDescent="0.3">
      <c r="A28" s="19"/>
      <c r="B28" s="19"/>
      <c r="C28" s="19"/>
      <c r="D28" s="19"/>
      <c r="E28" s="19"/>
      <c r="F28" s="19"/>
      <c r="G28" s="19"/>
      <c r="H28" s="19"/>
      <c r="I28" s="19"/>
      <c r="J28" s="19"/>
      <c r="K28" s="19"/>
      <c r="L28" s="19"/>
      <c r="M28" s="17"/>
      <c r="N28" s="17"/>
      <c r="O28" s="17"/>
    </row>
    <row r="29" spans="1:15" x14ac:dyDescent="0.3">
      <c r="A29" s="19"/>
      <c r="B29" s="19"/>
      <c r="C29" s="19"/>
      <c r="D29" s="19"/>
      <c r="E29" s="19"/>
      <c r="F29" s="19"/>
      <c r="G29" s="19"/>
      <c r="H29" s="19"/>
      <c r="I29" s="19"/>
      <c r="J29" s="19"/>
      <c r="K29" s="19"/>
      <c r="L29" s="19"/>
      <c r="M29" s="17"/>
      <c r="N29" s="17"/>
      <c r="O29" s="17"/>
    </row>
    <row r="30" spans="1:15" x14ac:dyDescent="0.3">
      <c r="A30" s="19"/>
      <c r="B30" s="19"/>
      <c r="C30" s="19"/>
      <c r="D30" s="19"/>
      <c r="E30" s="19"/>
      <c r="F30" s="19"/>
      <c r="G30" s="19"/>
      <c r="H30" s="19"/>
      <c r="I30" s="19"/>
      <c r="J30" s="19"/>
      <c r="K30" s="19"/>
      <c r="L30" s="19"/>
      <c r="M30" s="17"/>
      <c r="N30" s="17"/>
      <c r="O30" s="17"/>
    </row>
    <row r="31" spans="1:15" x14ac:dyDescent="0.3">
      <c r="A31" s="19"/>
      <c r="B31" s="19"/>
      <c r="C31" s="19"/>
      <c r="D31" s="19"/>
      <c r="E31" s="19"/>
      <c r="F31" s="19"/>
      <c r="G31" s="19"/>
      <c r="H31" s="19"/>
      <c r="I31" s="19"/>
      <c r="J31" s="19"/>
      <c r="K31" s="19"/>
      <c r="L31" s="19"/>
      <c r="M31" s="17"/>
      <c r="N31" s="17"/>
      <c r="O31" s="17"/>
    </row>
    <row r="32" spans="1:15" x14ac:dyDescent="0.3">
      <c r="A32" s="19"/>
      <c r="B32" s="19"/>
      <c r="C32" s="19"/>
      <c r="D32" s="19"/>
      <c r="E32" s="19"/>
      <c r="F32" s="19"/>
      <c r="G32" s="19"/>
      <c r="H32" s="19"/>
      <c r="I32" s="19"/>
      <c r="J32" s="19"/>
      <c r="K32" s="19"/>
      <c r="L32" s="19"/>
      <c r="M32" s="17"/>
      <c r="N32" s="17"/>
      <c r="O32" s="17"/>
    </row>
    <row r="33" spans="1:15" x14ac:dyDescent="0.3">
      <c r="A33" s="19"/>
      <c r="B33" s="19"/>
      <c r="C33" s="19"/>
      <c r="D33" s="19"/>
      <c r="E33" s="19"/>
      <c r="F33" s="19"/>
      <c r="G33" s="19"/>
      <c r="H33" s="19"/>
      <c r="I33" s="19"/>
      <c r="J33" s="19"/>
      <c r="K33" s="19"/>
      <c r="L33" s="19"/>
      <c r="M33" s="17"/>
      <c r="N33" s="17"/>
      <c r="O33" s="17"/>
    </row>
    <row r="34" spans="1:15" x14ac:dyDescent="0.3">
      <c r="A34" s="19"/>
      <c r="B34" s="19"/>
      <c r="C34" s="19"/>
      <c r="D34" s="19"/>
      <c r="E34" s="19"/>
      <c r="F34" s="19"/>
      <c r="G34" s="19"/>
      <c r="H34" s="19"/>
      <c r="I34" s="19"/>
      <c r="J34" s="19"/>
      <c r="K34" s="19"/>
      <c r="L34" s="19"/>
      <c r="M34" s="17"/>
      <c r="N34" s="17"/>
      <c r="O34" s="17"/>
    </row>
    <row r="35" spans="1:15" x14ac:dyDescent="0.3">
      <c r="A35" s="19"/>
      <c r="B35" s="19"/>
      <c r="C35" s="19"/>
      <c r="D35" s="19"/>
      <c r="E35" s="19"/>
      <c r="F35" s="19"/>
      <c r="G35" s="19"/>
      <c r="H35" s="19"/>
      <c r="I35" s="19"/>
      <c r="J35" s="19"/>
      <c r="K35" s="19"/>
      <c r="L35" s="19"/>
      <c r="M35" s="17"/>
      <c r="N35" s="17"/>
      <c r="O35" s="17"/>
    </row>
    <row r="36" spans="1:15" x14ac:dyDescent="0.3">
      <c r="A36" s="19"/>
      <c r="B36" s="19"/>
      <c r="C36" s="19"/>
      <c r="D36" s="19"/>
      <c r="E36" s="19"/>
      <c r="F36" s="19"/>
      <c r="G36" s="19"/>
      <c r="H36" s="19"/>
      <c r="I36" s="19"/>
      <c r="J36" s="19"/>
      <c r="K36" s="19"/>
      <c r="L36" s="19"/>
      <c r="M36" s="17"/>
      <c r="N36" s="17"/>
      <c r="O36" s="17"/>
    </row>
    <row r="37" spans="1:15" x14ac:dyDescent="0.3">
      <c r="A37" s="19"/>
      <c r="B37" s="19"/>
      <c r="C37" s="19"/>
      <c r="D37" s="19"/>
      <c r="E37" s="19"/>
      <c r="F37" s="19"/>
      <c r="G37" s="19"/>
      <c r="H37" s="19"/>
      <c r="I37" s="19"/>
      <c r="J37" s="19"/>
      <c r="K37" s="19"/>
      <c r="L37" s="19"/>
      <c r="M37" s="17"/>
      <c r="N37" s="17"/>
      <c r="O37" s="17"/>
    </row>
    <row r="38" spans="1:15" x14ac:dyDescent="0.3">
      <c r="A38" s="19"/>
      <c r="B38" s="19"/>
      <c r="C38" s="19"/>
      <c r="D38" s="19"/>
      <c r="E38" s="19"/>
      <c r="F38" s="19"/>
      <c r="G38" s="19"/>
      <c r="H38" s="19"/>
      <c r="I38" s="19"/>
      <c r="J38" s="19"/>
      <c r="K38" s="19"/>
      <c r="L38" s="19"/>
      <c r="M38" s="17"/>
      <c r="N38" s="17"/>
      <c r="O38" s="17"/>
    </row>
    <row r="39" spans="1:15" x14ac:dyDescent="0.3">
      <c r="A39" s="19"/>
      <c r="B39" s="19"/>
      <c r="C39" s="19"/>
      <c r="D39" s="19"/>
      <c r="E39" s="19"/>
      <c r="F39" s="19"/>
      <c r="G39" s="19"/>
      <c r="H39" s="19"/>
      <c r="I39" s="19"/>
      <c r="J39" s="19"/>
      <c r="K39" s="19"/>
      <c r="L39" s="19"/>
      <c r="M39" s="17"/>
      <c r="N39" s="17"/>
      <c r="O39" s="17"/>
    </row>
    <row r="40" spans="1:15" x14ac:dyDescent="0.3">
      <c r="A40" s="19"/>
      <c r="B40" s="19"/>
      <c r="C40" s="19"/>
      <c r="D40" s="19"/>
      <c r="E40" s="19"/>
      <c r="F40" s="19"/>
      <c r="G40" s="19"/>
      <c r="H40" s="19"/>
      <c r="I40" s="19"/>
      <c r="J40" s="19"/>
      <c r="K40" s="19"/>
      <c r="L40" s="19"/>
      <c r="M40" s="17"/>
      <c r="N40" s="17"/>
      <c r="O40" s="17"/>
    </row>
    <row r="41" spans="1:15" x14ac:dyDescent="0.3">
      <c r="A41" s="19"/>
      <c r="B41" s="19"/>
      <c r="C41" s="19"/>
      <c r="D41" s="19"/>
      <c r="E41" s="19"/>
      <c r="F41" s="19"/>
      <c r="G41" s="19"/>
      <c r="H41" s="19"/>
      <c r="I41" s="19"/>
      <c r="J41" s="19"/>
      <c r="K41" s="19"/>
      <c r="L41" s="19"/>
      <c r="M41" s="17"/>
      <c r="N41" s="17"/>
      <c r="O41" s="17"/>
    </row>
    <row r="42" spans="1:15" x14ac:dyDescent="0.3">
      <c r="A42" s="19"/>
      <c r="B42" s="19"/>
      <c r="C42" s="19"/>
      <c r="D42" s="19"/>
      <c r="E42" s="19"/>
      <c r="F42" s="19"/>
      <c r="G42" s="19"/>
      <c r="H42" s="19"/>
      <c r="I42" s="19"/>
      <c r="J42" s="19"/>
      <c r="K42" s="19"/>
      <c r="L42" s="19"/>
      <c r="M42" s="17"/>
      <c r="N42" s="17"/>
      <c r="O42" s="17"/>
    </row>
    <row r="43" spans="1:15" x14ac:dyDescent="0.3">
      <c r="A43" s="19"/>
      <c r="B43" s="19"/>
      <c r="C43" s="19"/>
      <c r="D43" s="19"/>
      <c r="E43" s="19"/>
      <c r="F43" s="19"/>
      <c r="G43" s="19"/>
      <c r="H43" s="19"/>
      <c r="I43" s="19"/>
      <c r="J43" s="19"/>
      <c r="K43" s="19"/>
      <c r="L43" s="19"/>
      <c r="M43" s="17"/>
      <c r="N43" s="17"/>
      <c r="O43" s="17"/>
    </row>
    <row r="44" spans="1:15" x14ac:dyDescent="0.3">
      <c r="A44" s="19"/>
      <c r="B44" s="19"/>
      <c r="C44" s="19"/>
      <c r="D44" s="19"/>
      <c r="E44" s="19"/>
      <c r="F44" s="19"/>
      <c r="G44" s="19"/>
      <c r="H44" s="19"/>
      <c r="I44" s="19"/>
      <c r="J44" s="19"/>
      <c r="K44" s="19"/>
      <c r="L44" s="19"/>
      <c r="M44" s="17"/>
      <c r="N44" s="17"/>
      <c r="O44" s="17"/>
    </row>
    <row r="45" spans="1:15" x14ac:dyDescent="0.3">
      <c r="A45" s="19"/>
      <c r="B45" s="19"/>
      <c r="C45" s="19"/>
      <c r="D45" s="19"/>
      <c r="E45" s="19"/>
      <c r="F45" s="19"/>
      <c r="G45" s="19"/>
      <c r="H45" s="19"/>
      <c r="I45" s="19"/>
      <c r="J45" s="19"/>
      <c r="K45" s="19"/>
      <c r="L45" s="19"/>
      <c r="M45" s="17"/>
      <c r="N45" s="17"/>
      <c r="O45" s="17"/>
    </row>
    <row r="46" spans="1:15" x14ac:dyDescent="0.3">
      <c r="A46" s="19"/>
      <c r="B46" s="19"/>
      <c r="C46" s="19"/>
      <c r="D46" s="19"/>
      <c r="E46" s="19"/>
      <c r="F46" s="19"/>
      <c r="G46" s="19"/>
      <c r="H46" s="19"/>
      <c r="I46" s="19"/>
      <c r="J46" s="19"/>
      <c r="K46" s="19"/>
      <c r="L46" s="19"/>
      <c r="M46" s="17"/>
      <c r="N46" s="17"/>
      <c r="O46" s="17"/>
    </row>
    <row r="47" spans="1:15" x14ac:dyDescent="0.3">
      <c r="A47" s="19"/>
      <c r="B47" s="19"/>
      <c r="C47" s="19"/>
      <c r="D47" s="19"/>
      <c r="E47" s="19"/>
      <c r="F47" s="19"/>
      <c r="G47" s="19"/>
      <c r="H47" s="19"/>
      <c r="I47" s="19"/>
      <c r="J47" s="19"/>
      <c r="K47" s="19"/>
      <c r="L47" s="19"/>
      <c r="M47" s="17"/>
      <c r="N47" s="17"/>
      <c r="O47" s="17"/>
    </row>
    <row r="48" spans="1:15" x14ac:dyDescent="0.3">
      <c r="A48" s="19"/>
      <c r="B48" s="19"/>
      <c r="C48" s="19"/>
      <c r="D48" s="19"/>
      <c r="E48" s="19"/>
      <c r="F48" s="19"/>
      <c r="G48" s="19"/>
      <c r="H48" s="19"/>
      <c r="I48" s="19"/>
      <c r="J48" s="19"/>
      <c r="K48" s="19"/>
      <c r="L48" s="19"/>
      <c r="M48" s="17"/>
      <c r="N48" s="17"/>
      <c r="O48" s="17"/>
    </row>
    <row r="49" spans="1:15" x14ac:dyDescent="0.3">
      <c r="A49" s="19"/>
      <c r="B49" s="19"/>
      <c r="C49" s="19"/>
      <c r="D49" s="19"/>
      <c r="E49" s="19"/>
      <c r="F49" s="19"/>
      <c r="G49" s="19"/>
      <c r="H49" s="19"/>
      <c r="I49" s="19"/>
      <c r="J49" s="19"/>
      <c r="K49" s="19"/>
      <c r="L49" s="19"/>
      <c r="M49" s="17"/>
      <c r="N49" s="17"/>
      <c r="O49" s="17"/>
    </row>
    <row r="50" spans="1:15" x14ac:dyDescent="0.3">
      <c r="A50" s="19"/>
      <c r="B50" s="19"/>
      <c r="C50" s="19"/>
      <c r="D50" s="19"/>
      <c r="E50" s="19"/>
      <c r="F50" s="19"/>
      <c r="G50" s="19"/>
      <c r="H50" s="19"/>
      <c r="I50" s="19"/>
      <c r="J50" s="19"/>
      <c r="K50" s="19"/>
      <c r="L50" s="19"/>
      <c r="M50" s="17"/>
      <c r="N50" s="17"/>
      <c r="O50" s="17"/>
    </row>
    <row r="51" spans="1:15" x14ac:dyDescent="0.3">
      <c r="A51" s="19"/>
      <c r="B51" s="19"/>
      <c r="C51" s="19"/>
      <c r="D51" s="19"/>
      <c r="E51" s="19"/>
      <c r="F51" s="19"/>
      <c r="G51" s="19"/>
      <c r="H51" s="19"/>
      <c r="I51" s="19"/>
      <c r="J51" s="19"/>
      <c r="K51" s="19"/>
      <c r="L51" s="19"/>
      <c r="M51" s="17"/>
      <c r="N51" s="17"/>
      <c r="O51" s="17"/>
    </row>
    <row r="52" spans="1:15" ht="21" x14ac:dyDescent="0.4">
      <c r="A52" s="28" t="s">
        <v>1303</v>
      </c>
      <c r="B52" s="14"/>
      <c r="C52" s="14"/>
      <c r="D52" s="14"/>
      <c r="E52" s="14"/>
      <c r="F52" s="14"/>
      <c r="G52" s="28" t="s">
        <v>1303</v>
      </c>
      <c r="H52" s="14"/>
      <c r="I52" s="14"/>
      <c r="J52" s="14"/>
      <c r="K52" s="14"/>
      <c r="L52" s="14"/>
      <c r="M52" s="18"/>
      <c r="N52" s="18"/>
      <c r="O52" s="18"/>
    </row>
    <row r="53" spans="1:15" ht="21" x14ac:dyDescent="0.4">
      <c r="A53" s="28" t="s">
        <v>1302</v>
      </c>
      <c r="B53" s="28"/>
      <c r="C53" s="28"/>
      <c r="D53" s="28"/>
      <c r="E53" s="28"/>
      <c r="F53" s="28"/>
      <c r="G53" s="28"/>
      <c r="H53" s="14"/>
      <c r="I53" s="14"/>
      <c r="J53" s="14"/>
      <c r="K53" s="14"/>
      <c r="L53" s="14"/>
    </row>
    <row r="54" spans="1:15" ht="21" x14ac:dyDescent="0.4">
      <c r="A54" s="28" t="s">
        <v>1303</v>
      </c>
      <c r="B54" s="28"/>
      <c r="C54" s="28"/>
      <c r="D54" s="28"/>
      <c r="E54" s="28"/>
      <c r="F54" s="28"/>
      <c r="G54" s="28" t="s">
        <v>1303</v>
      </c>
      <c r="H54" s="14"/>
      <c r="I54" s="14"/>
      <c r="J54" s="14"/>
      <c r="K54" s="14"/>
      <c r="L54" s="14"/>
    </row>
    <row r="55" spans="1:15" ht="21" x14ac:dyDescent="0.4">
      <c r="A55" s="28" t="s">
        <v>1304</v>
      </c>
      <c r="B55" s="28"/>
      <c r="C55" s="28"/>
      <c r="D55" s="28"/>
      <c r="E55" s="28"/>
      <c r="F55" s="28"/>
      <c r="G55" s="28"/>
      <c r="H55" s="14"/>
      <c r="I55" s="14"/>
      <c r="J55" s="14"/>
      <c r="K55" s="14"/>
      <c r="L55" s="14"/>
    </row>
    <row r="56" spans="1:15" ht="21" x14ac:dyDescent="0.4">
      <c r="A56" s="28" t="s">
        <v>1305</v>
      </c>
      <c r="B56" s="28"/>
      <c r="C56" s="28"/>
      <c r="D56" s="28"/>
      <c r="E56" s="28"/>
      <c r="F56" s="28"/>
      <c r="G56" s="28"/>
      <c r="H56" s="14"/>
      <c r="I56" s="14"/>
      <c r="J56" s="14"/>
      <c r="K56" s="14"/>
      <c r="L56" s="14"/>
    </row>
    <row r="57" spans="1:15" ht="21" x14ac:dyDescent="0.4">
      <c r="A57" s="28" t="s">
        <v>1306</v>
      </c>
      <c r="B57" s="28"/>
      <c r="C57" s="28"/>
      <c r="D57" s="28"/>
      <c r="E57" s="28"/>
      <c r="F57" s="28"/>
      <c r="G57" s="28"/>
      <c r="H57" s="14"/>
      <c r="I57" s="14"/>
      <c r="J57" s="14"/>
      <c r="K57" s="14"/>
      <c r="L57" s="14"/>
    </row>
    <row r="58" spans="1:15" ht="21" x14ac:dyDescent="0.4">
      <c r="A58" s="28" t="s">
        <v>1307</v>
      </c>
      <c r="B58" s="28"/>
      <c r="C58" s="28"/>
      <c r="D58" s="28"/>
      <c r="E58" s="28"/>
      <c r="F58" s="28"/>
      <c r="G58" s="28"/>
      <c r="H58" s="14"/>
      <c r="I58" s="14"/>
      <c r="J58" s="14"/>
      <c r="K58" s="14"/>
      <c r="L58" s="14"/>
    </row>
    <row r="59" spans="1:15" ht="21" x14ac:dyDescent="0.4">
      <c r="A59" s="28" t="s">
        <v>1308</v>
      </c>
      <c r="B59" s="28"/>
      <c r="C59" s="28"/>
      <c r="D59" s="28"/>
      <c r="E59" s="28"/>
      <c r="F59" s="28"/>
      <c r="G59" s="28"/>
      <c r="H59" s="14"/>
      <c r="I59" s="14"/>
      <c r="J59" s="14"/>
      <c r="K59" s="14"/>
      <c r="L59" s="14"/>
    </row>
    <row r="60" spans="1:15" ht="21" x14ac:dyDescent="0.4">
      <c r="A60" s="28" t="s">
        <v>1309</v>
      </c>
      <c r="B60" s="28"/>
      <c r="C60" s="28"/>
      <c r="D60" s="28"/>
      <c r="E60" s="28"/>
      <c r="F60" s="28"/>
      <c r="G60" s="28"/>
      <c r="H60" s="14"/>
      <c r="I60" s="14"/>
      <c r="J60" s="14"/>
      <c r="K60" s="14"/>
      <c r="L60" s="14"/>
    </row>
    <row r="61" spans="1:15" ht="21" x14ac:dyDescent="0.4">
      <c r="A61" s="28" t="s">
        <v>1310</v>
      </c>
      <c r="B61" s="28"/>
      <c r="C61" s="28"/>
      <c r="D61" s="28"/>
      <c r="E61" s="28"/>
      <c r="F61" s="28"/>
      <c r="G61" s="28"/>
      <c r="H61" s="14"/>
      <c r="I61" s="14"/>
      <c r="J61" s="14"/>
      <c r="K61" s="14"/>
      <c r="L61" s="14"/>
    </row>
  </sheetData>
  <mergeCells count="1">
    <mergeCell ref="A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726E7B0-C540-41C6-A351-C19E2A1A0EAB}">
  <ds:schemaRefs/>
</ds:datastoreItem>
</file>

<file path=customXml/itemProps2.xml><?xml version="1.0" encoding="utf-8"?>
<ds:datastoreItem xmlns:ds="http://schemas.openxmlformats.org/officeDocument/2006/customXml" ds:itemID="{B2E17836-EEEF-46F0-A6B6-E8E55C0A2390}">
  <ds:schemaRefs/>
</ds:datastoreItem>
</file>

<file path=customXml/itemProps3.xml><?xml version="1.0" encoding="utf-8"?>
<ds:datastoreItem xmlns:ds="http://schemas.openxmlformats.org/officeDocument/2006/customXml" ds:itemID="{1D0C3A96-DCD6-4F50-A8D3-42D147382DD5}">
  <ds:schemaRefs/>
</ds:datastoreItem>
</file>

<file path=customXml/itemProps4.xml><?xml version="1.0" encoding="utf-8"?>
<ds:datastoreItem xmlns:ds="http://schemas.openxmlformats.org/officeDocument/2006/customXml" ds:itemID="{E371A12F-1C03-48E7-8114-90AF3D8A3412}">
  <ds:schemaRefs/>
</ds:datastoreItem>
</file>

<file path=customXml/itemProps5.xml><?xml version="1.0" encoding="utf-8"?>
<ds:datastoreItem xmlns:ds="http://schemas.openxmlformats.org/officeDocument/2006/customXml" ds:itemID="{6E8499B0-09CC-47A2-B616-DB7DE3C93B5F}">
  <ds:schemaRefs/>
</ds:datastoreItem>
</file>

<file path=customXml/itemProps6.xml><?xml version="1.0" encoding="utf-8"?>
<ds:datastoreItem xmlns:ds="http://schemas.openxmlformats.org/officeDocument/2006/customXml" ds:itemID="{AFD03366-C763-4605-8925-DD0CB433CD29}">
  <ds:schemaRefs/>
</ds:datastoreItem>
</file>

<file path=customXml/itemProps7.xml><?xml version="1.0" encoding="utf-8"?>
<ds:datastoreItem xmlns:ds="http://schemas.openxmlformats.org/officeDocument/2006/customXml" ds:itemID="{E6EA42C6-8BA2-4BFA-84D0-299B5CA63C06}">
  <ds:schemaRefs/>
</ds:datastoreItem>
</file>

<file path=customXml/itemProps8.xml><?xml version="1.0" encoding="utf-8"?>
<ds:datastoreItem xmlns:ds="http://schemas.openxmlformats.org/officeDocument/2006/customXml" ds:itemID="{40534C8A-A1C9-418F-96E9-AFCCFC78152C}">
  <ds:schemaRefs/>
</ds:datastoreItem>
</file>

<file path=customXml/itemProps9.xml><?xml version="1.0" encoding="utf-8"?>
<ds:datastoreItem xmlns:ds="http://schemas.openxmlformats.org/officeDocument/2006/customXml" ds:itemID="{A89CD78D-DF36-46BC-A687-5376AD15A122}">
  <ds:schemaRefs/>
</ds:datastoreItem>
</file>

<file path=customXml/itemProps10.xml><?xml version="1.0" encoding="utf-8"?>
<ds:datastoreItem xmlns:ds="http://schemas.openxmlformats.org/officeDocument/2006/customXml" ds:itemID="{C11B3D1C-81FD-4642-922C-FE24BE7EDE3D}">
  <ds:schemaRefs/>
</ds:datastoreItem>
</file>

<file path=customXml/itemProps11.xml><?xml version="1.0" encoding="utf-8"?>
<ds:datastoreItem xmlns:ds="http://schemas.openxmlformats.org/officeDocument/2006/customXml" ds:itemID="{A07F0D70-547D-432B-A21D-DB0A2143FF1B}">
  <ds:schemaRefs/>
</ds:datastoreItem>
</file>

<file path=customXml/itemProps12.xml><?xml version="1.0" encoding="utf-8"?>
<ds:datastoreItem xmlns:ds="http://schemas.openxmlformats.org/officeDocument/2006/customXml" ds:itemID="{83DFC655-7D09-46E7-8A82-94FEDB131DC8}">
  <ds:schemaRefs/>
</ds:datastoreItem>
</file>

<file path=customXml/itemProps13.xml><?xml version="1.0" encoding="utf-8"?>
<ds:datastoreItem xmlns:ds="http://schemas.openxmlformats.org/officeDocument/2006/customXml" ds:itemID="{F6F33824-E15C-4657-AB0C-092933808885}">
  <ds:schemaRefs/>
</ds:datastoreItem>
</file>

<file path=customXml/itemProps14.xml><?xml version="1.0" encoding="utf-8"?>
<ds:datastoreItem xmlns:ds="http://schemas.openxmlformats.org/officeDocument/2006/customXml" ds:itemID="{94356D1F-A038-40DC-96D7-21B6511819A7}">
  <ds:schemaRefs/>
</ds:datastoreItem>
</file>

<file path=customXml/itemProps15.xml><?xml version="1.0" encoding="utf-8"?>
<ds:datastoreItem xmlns:ds="http://schemas.openxmlformats.org/officeDocument/2006/customXml" ds:itemID="{07486454-8112-470D-9575-A5F2584A5DB4}">
  <ds:schemaRefs>
    <ds:schemaRef ds:uri="http://schemas.microsoft.com/DataMashup"/>
  </ds:schemaRefs>
</ds:datastoreItem>
</file>

<file path=customXml/itemProps16.xml><?xml version="1.0" encoding="utf-8"?>
<ds:datastoreItem xmlns:ds="http://schemas.openxmlformats.org/officeDocument/2006/customXml" ds:itemID="{F1DB5DBF-81F1-4F6D-AD48-AEF7C2B3F180}">
  <ds:schemaRefs/>
</ds:datastoreItem>
</file>

<file path=customXml/itemProps17.xml><?xml version="1.0" encoding="utf-8"?>
<ds:datastoreItem xmlns:ds="http://schemas.openxmlformats.org/officeDocument/2006/customXml" ds:itemID="{CC0CB2E1-3B08-4AE0-AB93-6817910D9056}">
  <ds:schemaRefs/>
</ds:datastoreItem>
</file>

<file path=customXml/itemProps18.xml><?xml version="1.0" encoding="utf-8"?>
<ds:datastoreItem xmlns:ds="http://schemas.openxmlformats.org/officeDocument/2006/customXml" ds:itemID="{066FBA2F-4EC5-42DF-BE4F-1E636620D2E0}">
  <ds:schemaRefs/>
</ds:datastoreItem>
</file>

<file path=customXml/itemProps19.xml><?xml version="1.0" encoding="utf-8"?>
<ds:datastoreItem xmlns:ds="http://schemas.openxmlformats.org/officeDocument/2006/customXml" ds:itemID="{EE1F5C61-9D94-4E31-BD72-499A77BA9A64}">
  <ds:schemaRefs/>
</ds:datastoreItem>
</file>

<file path=customXml/itemProps20.xml><?xml version="1.0" encoding="utf-8"?>
<ds:datastoreItem xmlns:ds="http://schemas.openxmlformats.org/officeDocument/2006/customXml" ds:itemID="{D04AC291-E04A-46F6-B8DF-99866997D5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Orders</vt:lpstr>
      <vt:lpstr>Customers</vt:lpstr>
      <vt:lpstr>Products</vt:lpstr>
      <vt:lpstr>Returns</vt:lpstr>
      <vt:lpstr>Sheet6</vt:lpstr>
      <vt:lpstr>Sheet5</vt:lpstr>
      <vt:lpstr>Sheet7</vt:lpstr>
      <vt:lpstr>Sheet8</vt:lpstr>
      <vt:lpstr>Sheet10</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dc:creator>
  <cp:lastModifiedBy>Kalyani Deshmukh</cp:lastModifiedBy>
  <dcterms:created xsi:type="dcterms:W3CDTF">2015-06-05T18:17:20Z</dcterms:created>
  <dcterms:modified xsi:type="dcterms:W3CDTF">2026-07-10T11:58:13Z</dcterms:modified>
</cp:coreProperties>
</file>